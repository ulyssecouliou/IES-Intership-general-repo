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ha\Desktop\Documents\Kommissionen\SIA_380\380_2\_Wegleitung_4010\_Ausschuss\Kandidaten\IESVE\"/>
    </mc:Choice>
  </mc:AlternateContent>
  <xr:revisionPtr revIDLastSave="0" documentId="13_ncr:1_{54E8FBF4-E4D8-459D-BD43-6362230786DC}" xr6:coauthVersionLast="47" xr6:coauthVersionMax="47" xr10:uidLastSave="{00000000-0000-0000-0000-000000000000}"/>
  <bookViews>
    <workbookView xWindow="19090" yWindow="-110" windowWidth="19420" windowHeight="11500" xr2:uid="{9441EF0E-3505-491F-8B38-3220A97B6EC5}"/>
  </bookViews>
  <sheets>
    <sheet name="Tabelle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R4" i="2" l="1"/>
  <c r="AR6" i="2"/>
  <c r="AS6" i="2"/>
  <c r="AT6" i="2"/>
  <c r="AU6" i="2"/>
  <c r="AR7" i="2"/>
  <c r="AS7" i="2"/>
  <c r="AT7" i="2"/>
  <c r="DQ14" i="2"/>
  <c r="DP14" i="2"/>
  <c r="DO14" i="2"/>
  <c r="DK14" i="2"/>
  <c r="DJ14" i="2"/>
  <c r="DI14" i="2"/>
  <c r="DH14" i="2"/>
  <c r="DG14" i="2"/>
  <c r="DF14" i="2"/>
  <c r="AN14" i="2"/>
  <c r="AO14" i="2" s="1"/>
  <c r="AJ14" i="2"/>
  <c r="AG14" i="2"/>
  <c r="AD14" i="2"/>
  <c r="AF14" i="2" s="1"/>
  <c r="AB14" i="2"/>
  <c r="AA14" i="2"/>
  <c r="Z14" i="2"/>
  <c r="B14" i="2"/>
  <c r="DQ13" i="2"/>
  <c r="DP13" i="2"/>
  <c r="DO13" i="2"/>
  <c r="DK13" i="2"/>
  <c r="DJ13" i="2"/>
  <c r="DI13" i="2"/>
  <c r="DH13" i="2"/>
  <c r="DG13" i="2"/>
  <c r="DF13" i="2"/>
  <c r="AN13" i="2"/>
  <c r="AO13" i="2" s="1"/>
  <c r="AJ13" i="2"/>
  <c r="AG13" i="2"/>
  <c r="AD13" i="2"/>
  <c r="AF13" i="2" s="1"/>
  <c r="AB13" i="2"/>
  <c r="AA13" i="2"/>
  <c r="Z13" i="2"/>
  <c r="R13" i="2"/>
  <c r="Q13" i="2"/>
  <c r="P13" i="2"/>
  <c r="O13" i="2"/>
  <c r="B13" i="2"/>
  <c r="DQ12" i="2"/>
  <c r="DP12" i="2"/>
  <c r="DO12" i="2"/>
  <c r="DK12" i="2"/>
  <c r="DJ12" i="2"/>
  <c r="DI12" i="2"/>
  <c r="DH12" i="2"/>
  <c r="DG12" i="2"/>
  <c r="DF12" i="2"/>
  <c r="AN12" i="2"/>
  <c r="AO12" i="2" s="1"/>
  <c r="AJ12" i="2"/>
  <c r="AG12" i="2"/>
  <c r="AD12" i="2"/>
  <c r="AF12" i="2" s="1"/>
  <c r="AB12" i="2"/>
  <c r="AA12" i="2"/>
  <c r="Z12" i="2"/>
  <c r="R12" i="2"/>
  <c r="Q12" i="2"/>
  <c r="P12" i="2"/>
  <c r="O12" i="2"/>
  <c r="B12" i="2"/>
  <c r="DQ11" i="2"/>
  <c r="DP11" i="2"/>
  <c r="DO11" i="2"/>
  <c r="DK11" i="2"/>
  <c r="DJ11" i="2"/>
  <c r="DI11" i="2"/>
  <c r="DH11" i="2"/>
  <c r="DG11" i="2"/>
  <c r="DF11" i="2"/>
  <c r="AN11" i="2"/>
  <c r="AO11" i="2" s="1"/>
  <c r="AJ11" i="2"/>
  <c r="AG11" i="2"/>
  <c r="AD11" i="2"/>
  <c r="AF11" i="2" s="1"/>
  <c r="AB11" i="2"/>
  <c r="AA11" i="2"/>
  <c r="Z11" i="2"/>
  <c r="R11" i="2"/>
  <c r="Q11" i="2"/>
  <c r="P11" i="2"/>
  <c r="O11" i="2"/>
  <c r="B11" i="2"/>
  <c r="DQ10" i="2"/>
  <c r="DP10" i="2"/>
  <c r="DO10" i="2"/>
  <c r="DK10" i="2"/>
  <c r="DJ10" i="2"/>
  <c r="DI10" i="2"/>
  <c r="DH10" i="2"/>
  <c r="DG10" i="2"/>
  <c r="DF10" i="2"/>
  <c r="AN10" i="2"/>
  <c r="AO10" i="2" s="1"/>
  <c r="AJ10" i="2"/>
  <c r="AG10" i="2"/>
  <c r="AD10" i="2"/>
  <c r="AF10" i="2" s="1"/>
  <c r="AB10" i="2"/>
  <c r="AA10" i="2"/>
  <c r="Z10" i="2"/>
  <c r="R10" i="2"/>
  <c r="Q10" i="2"/>
  <c r="P10" i="2"/>
  <c r="O10" i="2"/>
  <c r="B10" i="2"/>
  <c r="DQ9" i="2"/>
  <c r="DP9" i="2"/>
  <c r="DO9" i="2"/>
  <c r="DK9" i="2"/>
  <c r="DJ9" i="2"/>
  <c r="DI9" i="2"/>
  <c r="DH9" i="2"/>
  <c r="DG9" i="2"/>
  <c r="DF9" i="2"/>
  <c r="AN9" i="2"/>
  <c r="AO9" i="2" s="1"/>
  <c r="AJ9" i="2"/>
  <c r="AG9" i="2"/>
  <c r="AD9" i="2"/>
  <c r="AF9" i="2" s="1"/>
  <c r="AB9" i="2"/>
  <c r="AA9" i="2"/>
  <c r="Z9" i="2"/>
  <c r="R9" i="2"/>
  <c r="Q9" i="2"/>
  <c r="P9" i="2"/>
  <c r="O9" i="2"/>
  <c r="B9" i="2"/>
  <c r="AK7" i="2"/>
  <c r="AE7" i="2"/>
  <c r="AD7" i="2"/>
  <c r="AB7" i="2"/>
  <c r="AA7" i="2"/>
  <c r="Z7" i="2"/>
  <c r="Y7" i="2"/>
  <c r="X7" i="2"/>
  <c r="W7" i="2"/>
  <c r="V7" i="2"/>
  <c r="U7" i="2"/>
  <c r="T7" i="2"/>
  <c r="R7" i="2"/>
  <c r="Q7" i="2"/>
  <c r="P7" i="2"/>
  <c r="O7" i="2"/>
  <c r="N7" i="2"/>
  <c r="M7" i="2"/>
  <c r="J7" i="2"/>
  <c r="I7" i="2"/>
  <c r="F7" i="2"/>
  <c r="E7" i="2"/>
  <c r="D7" i="2"/>
  <c r="C7" i="2"/>
  <c r="DR6" i="2"/>
  <c r="DQ6" i="2"/>
  <c r="DP6" i="2"/>
  <c r="DO6" i="2"/>
  <c r="DN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AO6" i="2"/>
  <c r="AN6" i="2"/>
  <c r="AM6" i="2"/>
  <c r="AL6" i="2"/>
  <c r="AK6" i="2"/>
  <c r="AJ6" i="2"/>
  <c r="AI6" i="2"/>
  <c r="AH6" i="2"/>
  <c r="AG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Q6" i="2"/>
  <c r="O6" i="2"/>
  <c r="N6" i="2"/>
  <c r="M6" i="2"/>
  <c r="L6" i="2"/>
  <c r="K6" i="2"/>
  <c r="J6" i="2"/>
  <c r="I6" i="2"/>
  <c r="H6" i="2"/>
  <c r="G6" i="2"/>
  <c r="E6" i="2"/>
  <c r="D6" i="2"/>
  <c r="C6" i="2"/>
  <c r="B6" i="2"/>
  <c r="DO4" i="2"/>
  <c r="DG4" i="2"/>
  <c r="DE4" i="2"/>
  <c r="CS4" i="2"/>
  <c r="BT4" i="2"/>
  <c r="AV4" i="2"/>
  <c r="AG4" i="2"/>
  <c r="AD4" i="2"/>
  <c r="T4" i="2"/>
  <c r="K4" i="2"/>
  <c r="C4" i="2"/>
  <c r="A4" i="2"/>
  <c r="A1" i="2"/>
  <c r="DN14" i="2" l="1"/>
  <c r="DR13" i="2"/>
  <c r="DN13" i="2"/>
  <c r="DR12" i="2"/>
  <c r="DN12" i="2"/>
  <c r="DR11" i="2"/>
  <c r="DN11" i="2"/>
  <c r="DR10" i="2"/>
  <c r="DN10" i="2"/>
  <c r="DR9" i="2"/>
  <c r="DN9" i="2"/>
  <c r="DR14" i="2"/>
  <c r="DL14" i="2"/>
  <c r="DM14" i="2"/>
  <c r="DM13" i="2"/>
  <c r="DL13" i="2"/>
  <c r="DL12" i="2"/>
  <c r="DM12" i="2"/>
  <c r="DM11" i="2"/>
  <c r="DL11" i="2"/>
  <c r="DL10" i="2"/>
  <c r="DM10" i="2"/>
  <c r="DL9" i="2"/>
  <c r="DM9" i="2"/>
</calcChain>
</file>

<file path=xl/sharedStrings.xml><?xml version="1.0" encoding="utf-8"?>
<sst xmlns="http://schemas.openxmlformats.org/spreadsheetml/2006/main" count="104" uniqueCount="36">
  <si>
    <t>x</t>
  </si>
  <si>
    <t>SIA 387/4</t>
  </si>
  <si>
    <t>SIA 2024</t>
  </si>
  <si>
    <t/>
  </si>
  <si>
    <t>Verhältnis Betriebsleistung zur Leistung Geräte und Prozessanlagen</t>
  </si>
  <si>
    <t>Nutzungsstunden pro Jahr</t>
  </si>
  <si>
    <t>Nutzungsstunden Beleuchtung pro Jahr</t>
  </si>
  <si>
    <t>Nr.</t>
  </si>
  <si>
    <t>m</t>
  </si>
  <si>
    <t>%</t>
  </si>
  <si>
    <t>-</t>
  </si>
  <si>
    <t>°C</t>
  </si>
  <si>
    <t>m²</t>
  </si>
  <si>
    <t>met</t>
  </si>
  <si>
    <t>clo</t>
  </si>
  <si>
    <t>W</t>
  </si>
  <si>
    <t>g/h</t>
  </si>
  <si>
    <r>
      <t>g/(hm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</si>
  <si>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W/m</t>
    </r>
    <r>
      <rPr>
        <vertAlign val="superscript"/>
        <sz val="10"/>
        <rFont val="Arial"/>
        <family val="2"/>
      </rPr>
      <t>2</t>
    </r>
  </si>
  <si>
    <t>lx</t>
  </si>
  <si>
    <t>h</t>
  </si>
  <si>
    <r>
      <t>g/(h·m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</si>
  <si>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d</t>
  </si>
  <si>
    <t>h/d</t>
  </si>
  <si>
    <t>h/a</t>
  </si>
  <si>
    <t>B</t>
  </si>
  <si>
    <t>80%</t>
  </si>
  <si>
    <t>SIA 382/1</t>
  </si>
  <si>
    <t>Lüftung</t>
  </si>
  <si>
    <t>C</t>
  </si>
  <si>
    <t>Schule</t>
  </si>
  <si>
    <t>Aussenluft-Volumenstrom pro Person</t>
  </si>
  <si>
    <t>Hygienebedingter Aussenluft-Volumenstrom</t>
  </si>
  <si>
    <t>Tag</t>
  </si>
  <si>
    <t>m3/h</t>
  </si>
  <si>
    <t>m3/(hm2)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</si>
</sst>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4" fillId="0" borderId="2" xfId="0" applyFont="1" applyBorder="1"/>
    <xf numFmtId="0" fontId="4" fillId="0" borderId="3" xfId="0" applyFont="1" applyBorder="1"/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horizontal="center" vertical="top"/>
    </xf>
    <xf numFmtId="0" fontId="4" fillId="0" borderId="1" xfId="0" applyFont="1" applyBorder="1"/>
    <xf numFmtId="0" fontId="4" fillId="0" borderId="0" xfId="0" applyFont="1"/>
    <xf numFmtId="0" fontId="3" fillId="0" borderId="4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textRotation="90" wrapText="1"/>
    </xf>
    <xf numFmtId="0" fontId="3" fillId="0" borderId="9" xfId="0" applyFont="1" applyBorder="1" applyAlignment="1">
      <alignment horizontal="center" textRotation="90" wrapText="1"/>
    </xf>
    <xf numFmtId="0" fontId="3" fillId="0" borderId="10" xfId="0" applyFont="1" applyBorder="1" applyAlignment="1">
      <alignment horizontal="center" textRotation="90" wrapText="1"/>
    </xf>
    <xf numFmtId="0" fontId="3" fillId="0" borderId="0" xfId="0" applyFont="1" applyAlignment="1">
      <alignment horizontal="center" textRotation="90" wrapText="1"/>
    </xf>
    <xf numFmtId="0" fontId="3" fillId="0" borderId="8" xfId="0" applyFont="1" applyBorder="1" applyAlignment="1">
      <alignment horizontal="center" textRotation="90" wrapText="1"/>
    </xf>
    <xf numFmtId="0" fontId="3" fillId="0" borderId="11" xfId="0" applyFont="1" applyBorder="1" applyAlignment="1">
      <alignment horizontal="center" textRotation="90" wrapText="1"/>
    </xf>
    <xf numFmtId="0" fontId="3" fillId="0" borderId="12" xfId="0" applyFont="1" applyBorder="1" applyAlignment="1">
      <alignment horizontal="center" textRotation="90" wrapText="1"/>
    </xf>
    <xf numFmtId="0" fontId="3" fillId="0" borderId="13" xfId="0" applyFont="1" applyBorder="1" applyAlignment="1">
      <alignment horizontal="center" textRotation="90" wrapText="1"/>
    </xf>
    <xf numFmtId="0" fontId="3" fillId="0" borderId="14" xfId="0" applyFont="1" applyBorder="1" applyAlignment="1">
      <alignment horizontal="center" textRotation="90" wrapText="1"/>
    </xf>
    <xf numFmtId="0" fontId="3" fillId="0" borderId="15" xfId="0" applyFont="1" applyBorder="1" applyAlignment="1">
      <alignment horizontal="center" textRotation="90" wrapText="1"/>
    </xf>
    <xf numFmtId="0" fontId="3" fillId="0" borderId="16" xfId="0" applyFont="1" applyBorder="1" applyAlignment="1">
      <alignment horizontal="center" textRotation="90" wrapText="1"/>
    </xf>
    <xf numFmtId="0" fontId="3" fillId="0" borderId="17" xfId="0" applyFont="1" applyBorder="1" applyAlignment="1">
      <alignment horizontal="center" textRotation="90" wrapText="1"/>
    </xf>
    <xf numFmtId="164" fontId="3" fillId="0" borderId="10" xfId="0" applyNumberFormat="1" applyFont="1" applyBorder="1" applyAlignment="1">
      <alignment horizontal="center" textRotation="90" wrapText="1"/>
    </xf>
    <xf numFmtId="164" fontId="3" fillId="0" borderId="9" xfId="0" applyNumberFormat="1" applyFont="1" applyBorder="1" applyAlignment="1">
      <alignment horizontal="center" textRotation="90" wrapText="1"/>
    </xf>
    <xf numFmtId="164" fontId="3" fillId="0" borderId="0" xfId="0" applyNumberFormat="1" applyFont="1" applyAlignment="1">
      <alignment horizontal="center" textRotation="90" wrapText="1"/>
    </xf>
    <xf numFmtId="0" fontId="3" fillId="0" borderId="18" xfId="0" applyFont="1" applyBorder="1" applyAlignment="1">
      <alignment horizontal="center" textRotation="90" wrapText="1"/>
    </xf>
    <xf numFmtId="0" fontId="3" fillId="0" borderId="19" xfId="0" applyFont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3" fillId="0" borderId="6" xfId="0" applyFont="1" applyBorder="1" applyAlignment="1">
      <alignment horizontal="center" textRotation="90" wrapText="1"/>
    </xf>
    <xf numFmtId="0" fontId="3" fillId="0" borderId="20" xfId="0" applyFont="1" applyBorder="1" applyAlignment="1">
      <alignment horizontal="center" textRotation="90" wrapText="1"/>
    </xf>
    <xf numFmtId="0" fontId="3" fillId="0" borderId="21" xfId="0" applyFont="1" applyBorder="1" applyAlignment="1">
      <alignment horizontal="center" textRotation="90" wrapText="1"/>
    </xf>
    <xf numFmtId="164" fontId="3" fillId="0" borderId="18" xfId="0" applyNumberFormat="1" applyFont="1" applyBorder="1" applyAlignment="1">
      <alignment horizontal="center" textRotation="90" wrapText="1"/>
    </xf>
    <xf numFmtId="164" fontId="3" fillId="0" borderId="19" xfId="0" applyNumberFormat="1" applyFont="1" applyBorder="1" applyAlignment="1">
      <alignment horizontal="center" textRotation="90" wrapText="1"/>
    </xf>
    <xf numFmtId="164" fontId="3" fillId="0" borderId="12" xfId="0" applyNumberFormat="1" applyFont="1" applyBorder="1" applyAlignment="1">
      <alignment horizontal="center" textRotation="90" wrapText="1"/>
    </xf>
    <xf numFmtId="0" fontId="3" fillId="0" borderId="12" xfId="0" quotePrefix="1" applyFont="1" applyBorder="1" applyAlignment="1">
      <alignment horizontal="center" textRotation="90" wrapText="1"/>
    </xf>
    <xf numFmtId="0" fontId="3" fillId="0" borderId="22" xfId="0" applyFont="1" applyBorder="1" applyAlignment="1">
      <alignment horizontal="center" textRotation="90" wrapText="1"/>
    </xf>
    <xf numFmtId="0" fontId="3" fillId="0" borderId="23" xfId="0" applyFont="1" applyBorder="1" applyAlignment="1">
      <alignment horizontal="center" textRotation="90" wrapText="1"/>
    </xf>
    <xf numFmtId="0" fontId="3" fillId="0" borderId="24" xfId="0" applyFont="1" applyBorder="1" applyAlignment="1">
      <alignment horizontal="center" textRotation="90" wrapText="1"/>
    </xf>
    <xf numFmtId="0" fontId="3" fillId="0" borderId="24" xfId="0" quotePrefix="1" applyFont="1" applyBorder="1" applyAlignment="1">
      <alignment horizontal="center" textRotation="90" wrapText="1"/>
    </xf>
    <xf numFmtId="0" fontId="3" fillId="0" borderId="25" xfId="0" applyFont="1" applyBorder="1" applyAlignment="1">
      <alignment horizontal="center" textRotation="90" wrapText="1"/>
    </xf>
    <xf numFmtId="0" fontId="3" fillId="0" borderId="26" xfId="0" applyFont="1" applyBorder="1" applyAlignment="1">
      <alignment horizontal="center" textRotation="90" wrapText="1"/>
    </xf>
    <xf numFmtId="164" fontId="3" fillId="0" borderId="22" xfId="0" applyNumberFormat="1" applyFont="1" applyBorder="1" applyAlignment="1">
      <alignment horizontal="center" textRotation="90" wrapText="1"/>
    </xf>
    <xf numFmtId="164" fontId="3" fillId="0" borderId="24" xfId="0" applyNumberFormat="1" applyFont="1" applyBorder="1" applyAlignment="1">
      <alignment horizontal="center" textRotation="90" wrapText="1"/>
    </xf>
    <xf numFmtId="164" fontId="3" fillId="0" borderId="23" xfId="0" applyNumberFormat="1" applyFont="1" applyBorder="1" applyAlignment="1">
      <alignment horizontal="center" textRotation="90" wrapText="1"/>
    </xf>
    <xf numFmtId="0" fontId="3" fillId="0" borderId="3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1" fontId="3" fillId="0" borderId="2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" fontId="3" fillId="0" borderId="1" xfId="0" applyNumberFormat="1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64" fontId="3" fillId="0" borderId="3" xfId="0" applyNumberFormat="1" applyFont="1" applyBorder="1" applyAlignment="1">
      <alignment vertical="top" wrapText="1"/>
    </xf>
    <xf numFmtId="1" fontId="3" fillId="0" borderId="3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64" fontId="3" fillId="0" borderId="2" xfId="0" applyNumberFormat="1" applyFont="1" applyBorder="1"/>
    <xf numFmtId="164" fontId="3" fillId="0" borderId="27" xfId="0" applyNumberFormat="1" applyFont="1" applyBorder="1"/>
    <xf numFmtId="164" fontId="3" fillId="0" borderId="1" xfId="0" quotePrefix="1" applyNumberFormat="1" applyFont="1" applyBorder="1"/>
    <xf numFmtId="164" fontId="3" fillId="0" borderId="1" xfId="0" applyNumberFormat="1" applyFont="1" applyBorder="1"/>
    <xf numFmtId="164" fontId="3" fillId="0" borderId="28" xfId="0" applyNumberFormat="1" applyFont="1" applyBorder="1"/>
    <xf numFmtId="164" fontId="3" fillId="0" borderId="3" xfId="0" applyNumberFormat="1" applyFont="1" applyBorder="1"/>
    <xf numFmtId="1" fontId="3" fillId="0" borderId="3" xfId="0" applyNumberFormat="1" applyFont="1" applyBorder="1"/>
    <xf numFmtId="2" fontId="3" fillId="0" borderId="2" xfId="0" applyNumberFormat="1" applyFont="1" applyBorder="1"/>
    <xf numFmtId="0" fontId="3" fillId="0" borderId="3" xfId="0" applyFont="1" applyBorder="1"/>
    <xf numFmtId="164" fontId="3" fillId="0" borderId="10" xfId="0" applyNumberFormat="1" applyFont="1" applyBorder="1"/>
    <xf numFmtId="164" fontId="3" fillId="0" borderId="0" xfId="0" applyNumberFormat="1" applyFont="1"/>
    <xf numFmtId="1" fontId="3" fillId="0" borderId="9" xfId="0" applyNumberFormat="1" applyFont="1" applyBorder="1"/>
    <xf numFmtId="2" fontId="3" fillId="0" borderId="0" xfId="0" applyNumberFormat="1" applyFont="1"/>
    <xf numFmtId="1" fontId="3" fillId="0" borderId="0" xfId="0" applyNumberFormat="1" applyFont="1"/>
    <xf numFmtId="0" fontId="3" fillId="0" borderId="9" xfId="0" applyFont="1" applyBorder="1"/>
    <xf numFmtId="2" fontId="3" fillId="0" borderId="1" xfId="0" quotePrefix="1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3" fillId="0" borderId="24" xfId="0" applyFont="1" applyBorder="1" applyAlignment="1">
      <alignment vertical="top" wrapText="1"/>
    </xf>
    <xf numFmtId="164" fontId="3" fillId="0" borderId="22" xfId="0" applyNumberFormat="1" applyFont="1" applyBorder="1" applyAlignment="1">
      <alignment vertical="top" wrapText="1"/>
    </xf>
    <xf numFmtId="164" fontId="3" fillId="0" borderId="23" xfId="0" applyNumberFormat="1" applyFont="1" applyBorder="1" applyAlignment="1">
      <alignment vertical="top" wrapText="1"/>
    </xf>
    <xf numFmtId="1" fontId="3" fillId="0" borderId="23" xfId="0" applyNumberFormat="1" applyFont="1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1" fontId="3" fillId="0" borderId="22" xfId="0" applyNumberFormat="1" applyFont="1" applyBorder="1" applyAlignment="1">
      <alignment horizontal="center" vertical="top" wrapText="1"/>
    </xf>
    <xf numFmtId="1" fontId="3" fillId="0" borderId="23" xfId="0" applyNumberFormat="1" applyFont="1" applyBorder="1" applyAlignment="1">
      <alignment horizontal="center" vertical="top" wrapText="1"/>
    </xf>
    <xf numFmtId="164" fontId="3" fillId="0" borderId="23" xfId="0" applyNumberFormat="1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22" xfId="0" applyFont="1" applyBorder="1" applyAlignment="1">
      <alignment vertical="top" wrapText="1"/>
    </xf>
    <xf numFmtId="164" fontId="3" fillId="0" borderId="24" xfId="0" applyNumberFormat="1" applyFont="1" applyBorder="1" applyAlignment="1">
      <alignment vertical="top" wrapText="1"/>
    </xf>
    <xf numFmtId="1" fontId="3" fillId="0" borderId="24" xfId="0" applyNumberFormat="1" applyFont="1" applyBorder="1" applyAlignment="1">
      <alignment vertical="top" wrapText="1"/>
    </xf>
    <xf numFmtId="1" fontId="3" fillId="0" borderId="22" xfId="0" applyNumberFormat="1" applyFont="1" applyBorder="1" applyAlignment="1">
      <alignment vertical="top" wrapText="1"/>
    </xf>
    <xf numFmtId="164" fontId="3" fillId="0" borderId="25" xfId="0" applyNumberFormat="1" applyFont="1" applyBorder="1" applyAlignment="1">
      <alignment vertical="top" wrapText="1"/>
    </xf>
    <xf numFmtId="164" fontId="3" fillId="0" borderId="26" xfId="0" applyNumberFormat="1" applyFont="1" applyBorder="1" applyAlignment="1">
      <alignment vertical="top" wrapText="1"/>
    </xf>
    <xf numFmtId="164" fontId="3" fillId="0" borderId="22" xfId="0" applyNumberFormat="1" applyFont="1" applyBorder="1"/>
    <xf numFmtId="164" fontId="3" fillId="0" borderId="23" xfId="0" applyNumberFormat="1" applyFont="1" applyBorder="1"/>
    <xf numFmtId="164" fontId="3" fillId="0" borderId="25" xfId="0" applyNumberFormat="1" applyFont="1" applyBorder="1"/>
    <xf numFmtId="164" fontId="3" fillId="0" borderId="26" xfId="0" applyNumberFormat="1" applyFont="1" applyBorder="1"/>
    <xf numFmtId="164" fontId="3" fillId="0" borderId="24" xfId="0" applyNumberFormat="1" applyFont="1" applyBorder="1"/>
    <xf numFmtId="1" fontId="3" fillId="0" borderId="24" xfId="0" applyNumberFormat="1" applyFont="1" applyBorder="1"/>
    <xf numFmtId="2" fontId="3" fillId="0" borderId="23" xfId="0" applyNumberFormat="1" applyFont="1" applyBorder="1"/>
    <xf numFmtId="1" fontId="3" fillId="0" borderId="23" xfId="0" applyNumberFormat="1" applyFont="1" applyBorder="1"/>
    <xf numFmtId="0" fontId="3" fillId="0" borderId="24" xfId="0" applyFont="1" applyBorder="1"/>
    <xf numFmtId="0" fontId="3" fillId="0" borderId="9" xfId="0" applyFont="1" applyBorder="1" applyAlignment="1">
      <alignment vertical="top" wrapText="1"/>
    </xf>
    <xf numFmtId="164" fontId="3" fillId="0" borderId="10" xfId="0" applyNumberFormat="1" applyFont="1" applyBorder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1" fontId="3" fillId="0" borderId="0" xfId="0" applyNumberFormat="1" applyFont="1" applyAlignment="1">
      <alignment vertical="top" wrapText="1"/>
    </xf>
    <xf numFmtId="1" fontId="3" fillId="0" borderId="10" xfId="0" applyNumberFormat="1" applyFont="1" applyBorder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164" fontId="3" fillId="0" borderId="9" xfId="0" applyNumberFormat="1" applyFont="1" applyBorder="1" applyAlignment="1">
      <alignment vertical="top" wrapText="1"/>
    </xf>
    <xf numFmtId="1" fontId="3" fillId="0" borderId="9" xfId="0" applyNumberFormat="1" applyFont="1" applyBorder="1" applyAlignment="1">
      <alignment vertical="top" wrapText="1"/>
    </xf>
    <xf numFmtId="1" fontId="3" fillId="0" borderId="10" xfId="0" applyNumberFormat="1" applyFont="1" applyBorder="1" applyAlignment="1">
      <alignment vertical="top" wrapText="1"/>
    </xf>
    <xf numFmtId="164" fontId="3" fillId="0" borderId="29" xfId="0" applyNumberFormat="1" applyFont="1" applyBorder="1" applyAlignment="1">
      <alignment vertical="top" wrapText="1"/>
    </xf>
    <xf numFmtId="164" fontId="3" fillId="0" borderId="30" xfId="0" applyNumberFormat="1" applyFont="1" applyBorder="1" applyAlignment="1">
      <alignment vertical="top" wrapText="1"/>
    </xf>
    <xf numFmtId="164" fontId="3" fillId="0" borderId="29" xfId="0" applyNumberFormat="1" applyFont="1" applyBorder="1"/>
    <xf numFmtId="164" fontId="3" fillId="0" borderId="30" xfId="0" applyNumberFormat="1" applyFont="1" applyBorder="1"/>
    <xf numFmtId="164" fontId="3" fillId="0" borderId="9" xfId="0" applyNumberFormat="1" applyFont="1" applyBorder="1"/>
    <xf numFmtId="2" fontId="3" fillId="0" borderId="10" xfId="0" quotePrefix="1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3" fillId="0" borderId="10" xfId="0" applyFont="1" applyBorder="1"/>
    <xf numFmtId="1" fontId="3" fillId="0" borderId="10" xfId="0" applyNumberFormat="1" applyFont="1" applyBorder="1"/>
    <xf numFmtId="2" fontId="3" fillId="0" borderId="10" xfId="0" applyNumberFormat="1" applyFont="1" applyBorder="1" applyAlignment="1">
      <alignment horizontal="center"/>
    </xf>
    <xf numFmtId="2" fontId="3" fillId="0" borderId="22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vertical="top" wrapText="1"/>
    </xf>
    <xf numFmtId="164" fontId="3" fillId="0" borderId="0" xfId="0" applyNumberFormat="1" applyFont="1" applyBorder="1" applyAlignment="1">
      <alignment vertical="top" wrapText="1"/>
    </xf>
    <xf numFmtId="1" fontId="3" fillId="0" borderId="0" xfId="0" applyNumberFormat="1" applyFont="1" applyBorder="1" applyAlignment="1">
      <alignment vertical="center" wrapText="1"/>
    </xf>
    <xf numFmtId="164" fontId="3" fillId="0" borderId="0" xfId="0" applyNumberFormat="1" applyFont="1" applyBorder="1" applyAlignment="1">
      <alignment vertical="center" wrapText="1"/>
    </xf>
    <xf numFmtId="164" fontId="3" fillId="0" borderId="0" xfId="0" applyNumberFormat="1" applyFont="1" applyBorder="1"/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rha\Desktop\Documents\Kommissionen\SIA_380\380_2\_Wegleitung_4010\_Ausschuss\Kandidaten\IESVE\SIA2024_Raumdatenblaetter_df_20220131_V202.xlsx" TargetMode="External"/><Relationship Id="rId1" Type="http://schemas.openxmlformats.org/officeDocument/2006/relationships/externalLinkPath" Target="SIA2024_Raumdatenblaetter_df_20220131_V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zenzieren"/>
      <sheetName val="Anleitung"/>
      <sheetName val="Begriffe"/>
      <sheetName val="Eingabedaten"/>
      <sheetName val="Profile"/>
      <sheetName val="Monatswerte"/>
      <sheetName val="Winter_Auslegung"/>
      <sheetName val="Aug_Auslegung"/>
      <sheetName val="Datenblatt"/>
      <sheetName val="Eigene Nutzung"/>
      <sheetName val="Resultate Standard"/>
      <sheetName val="Resultate Zielwert"/>
      <sheetName val="Resultate Bestand"/>
      <sheetName val="KZ_Raum_2024"/>
      <sheetName val="Fläche-E"/>
      <sheetName val="Fläche-L"/>
      <sheetName val="Fläche-ZW"/>
      <sheetName val="Fläche-Best"/>
      <sheetName val="GEPAMOD"/>
      <sheetName val="Volll_Lüft"/>
      <sheetName val="SIA 380-1"/>
      <sheetName val="SIA 380-1_Qc"/>
      <sheetName val="SIA 380-1_EN"/>
      <sheetName val="SIA 380-1_Qc_EN"/>
    </sheetNames>
    <sheetDataSet>
      <sheetData sheetId="0"/>
      <sheetData sheetId="1"/>
      <sheetData sheetId="2">
        <row r="26">
          <cell r="F26" t="str">
            <v>Aktivitätsgrad</v>
          </cell>
        </row>
        <row r="34">
          <cell r="F34" t="str">
            <v>Beleuchtungsstärke</v>
          </cell>
        </row>
        <row r="35">
          <cell r="F35" t="str">
            <v>Bewertungsebene</v>
          </cell>
        </row>
        <row r="39">
          <cell r="F39" t="str">
            <v>Elektrische Leistung der Geräte</v>
          </cell>
        </row>
        <row r="41">
          <cell r="F41" t="str">
            <v>Elektrische Leistung der Prozessanlagen</v>
          </cell>
        </row>
        <row r="43">
          <cell r="F43" t="str">
            <v>Feuchteproduktion Personen</v>
          </cell>
        </row>
        <row r="44">
          <cell r="F44" t="str">
            <v>Feuchtequellen (ohne Personen)</v>
          </cell>
        </row>
        <row r="52">
          <cell r="F52" t="str">
            <v>Jahresgleichzeitigkeit</v>
          </cell>
        </row>
        <row r="54">
          <cell r="F54" t="str">
            <v>Jahresprofil</v>
          </cell>
        </row>
        <row r="69">
          <cell r="F69" t="str">
            <v>Korrekturfaktor für Präsenzregelung</v>
          </cell>
        </row>
        <row r="70">
          <cell r="F70" t="str">
            <v>Korrekturfaktor Gleichzeitigkeit</v>
          </cell>
        </row>
        <row r="73">
          <cell r="F73" t="str">
            <v>Leistung ausserhalb der Nutzungszeit</v>
          </cell>
        </row>
        <row r="79">
          <cell r="F79" t="str">
            <v>Mittlere Raumtemperatur</v>
          </cell>
        </row>
        <row r="83">
          <cell r="F83" t="str">
            <v>Nutzungsstunden pro Tag</v>
          </cell>
        </row>
        <row r="85">
          <cell r="F85" t="str">
            <v>Nutzungstage pro Jahr</v>
          </cell>
        </row>
        <row r="87">
          <cell r="F87" t="str">
            <v>Personenfläche</v>
          </cell>
        </row>
        <row r="89">
          <cell r="F89" t="str">
            <v>Präsenzart</v>
          </cell>
        </row>
        <row r="93">
          <cell r="F93" t="str">
            <v>Raumtemperatur-Auslegungswert</v>
          </cell>
        </row>
        <row r="96">
          <cell r="F96" t="str">
            <v>Referenzbeleuchtungsstärke</v>
          </cell>
        </row>
        <row r="97">
          <cell r="F97" t="str">
            <v xml:space="preserve">Relative Raumluftfeuchte </v>
          </cell>
        </row>
        <row r="99">
          <cell r="F99" t="str">
            <v>Ruhetage pro Woche</v>
          </cell>
        </row>
        <row r="100">
          <cell r="F100" t="str">
            <v>Sensible Wärmeabgabeleistung Pers.</v>
          </cell>
        </row>
        <row r="112">
          <cell r="F112" t="str">
            <v>Volllaststunden pro Jahr</v>
          </cell>
        </row>
        <row r="118">
          <cell r="F118" t="str">
            <v>Wärmedämmwert der Bekleidung</v>
          </cell>
        </row>
        <row r="121">
          <cell r="F121" t="str">
            <v>Wärmeeintragsleistung der Geräte</v>
          </cell>
        </row>
        <row r="138">
          <cell r="F138" t="str">
            <v>Einzel-, Gruppenbüro</v>
          </cell>
        </row>
        <row r="139">
          <cell r="F139" t="str">
            <v>Grossraumbüro</v>
          </cell>
        </row>
        <row r="140">
          <cell r="F140" t="str">
            <v>Sitzungszimmer</v>
          </cell>
        </row>
        <row r="145">
          <cell r="F145" t="str">
            <v>Hörsaal</v>
          </cell>
        </row>
        <row r="151">
          <cell r="F151" t="str">
            <v>Selbstbedienungsrestaurant</v>
          </cell>
        </row>
        <row r="153">
          <cell r="F153" t="str">
            <v>Küche zu Selbstbedienungsrest.</v>
          </cell>
        </row>
        <row r="184">
          <cell r="F184" t="str">
            <v>SIA 2024 - Eingabedaten</v>
          </cell>
        </row>
        <row r="185">
          <cell r="F185" t="str">
            <v>Bezeichnung</v>
          </cell>
        </row>
        <row r="186">
          <cell r="F186" t="str">
            <v>Raumnutzung</v>
          </cell>
        </row>
        <row r="199">
          <cell r="F199" t="str">
            <v>Raumklima</v>
          </cell>
        </row>
        <row r="200">
          <cell r="F200" t="str">
            <v>Nutzung mit Klimatisierung</v>
          </cell>
        </row>
        <row r="204">
          <cell r="F204" t="str">
            <v>Personen</v>
          </cell>
        </row>
        <row r="205">
          <cell r="F205" t="str">
            <v>Geräte und Prozessanlagen</v>
          </cell>
        </row>
        <row r="206">
          <cell r="F206" t="str">
            <v>Beleuchtung</v>
          </cell>
        </row>
        <row r="207">
          <cell r="F207" t="str">
            <v>DP</v>
          </cell>
        </row>
        <row r="208">
          <cell r="F208" t="str">
            <v>NP</v>
          </cell>
        </row>
        <row r="210">
          <cell r="F210" t="str">
            <v>Nutzungsstunden pro Nacht</v>
          </cell>
        </row>
        <row r="211">
          <cell r="F211" t="str">
            <v>Nutzungsstunden</v>
          </cell>
        </row>
        <row r="212">
          <cell r="F212" t="str">
            <v>Korrekturfaktor k0</v>
          </cell>
        </row>
        <row r="213">
          <cell r="F213" t="str">
            <v>Volllaststunden</v>
          </cell>
        </row>
        <row r="214">
          <cell r="F214" t="str">
            <v>Volllaststunden (7-18h)</v>
          </cell>
        </row>
        <row r="215">
          <cell r="F215" t="str">
            <v>Vollaststunden (18-7h)</v>
          </cell>
        </row>
        <row r="216">
          <cell r="F216" t="str">
            <v>Nutzungsstunden</v>
          </cell>
        </row>
        <row r="217">
          <cell r="F217" t="str">
            <v>Volllaststunden</v>
          </cell>
        </row>
        <row r="218">
          <cell r="F218" t="str">
            <v>Betriebsleistung</v>
          </cell>
        </row>
        <row r="221">
          <cell r="F221" t="str">
            <v>Befeuchtung</v>
          </cell>
        </row>
        <row r="227">
          <cell r="F227" t="str">
            <v>Personenprofil (Nutzungstag)</v>
          </cell>
        </row>
        <row r="228">
          <cell r="F228" t="str">
            <v>Geräteprofil (Nutzungstag)</v>
          </cell>
        </row>
        <row r="229">
          <cell r="F229" t="str">
            <v>Nutzungstage</v>
          </cell>
        </row>
        <row r="230">
          <cell r="F230" t="str">
            <v>Personen-Stunden</v>
          </cell>
        </row>
        <row r="231">
          <cell r="F231" t="str">
            <v>Geräte-Stunden</v>
          </cell>
        </row>
        <row r="235">
          <cell r="F235" t="str">
            <v>Standard</v>
          </cell>
        </row>
        <row r="236">
          <cell r="F236" t="str">
            <v>Zielwert</v>
          </cell>
        </row>
        <row r="237">
          <cell r="F237" t="str">
            <v>Bestand</v>
          </cell>
        </row>
        <row r="240">
          <cell r="F240" t="str">
            <v>Kühlfall</v>
          </cell>
        </row>
        <row r="241">
          <cell r="F241" t="str">
            <v>Heizfall</v>
          </cell>
        </row>
        <row r="264">
          <cell r="F264" t="str">
            <v>Volllaststunden Ruhetag</v>
          </cell>
        </row>
        <row r="265">
          <cell r="F265" t="str">
            <v>Jährliche Geräte-Volllaststunden</v>
          </cell>
        </row>
        <row r="391">
          <cell r="F391" t="str">
            <v>Jan</v>
          </cell>
        </row>
        <row r="392">
          <cell r="F392" t="str">
            <v>Feb</v>
          </cell>
        </row>
        <row r="393">
          <cell r="F393" t="str">
            <v>Mrz</v>
          </cell>
        </row>
        <row r="394">
          <cell r="F394" t="str">
            <v>Apr</v>
          </cell>
        </row>
        <row r="395">
          <cell r="F395" t="str">
            <v>Mai</v>
          </cell>
        </row>
        <row r="396">
          <cell r="F396" t="str">
            <v>Jun</v>
          </cell>
        </row>
        <row r="397">
          <cell r="F397" t="str">
            <v>Jul</v>
          </cell>
        </row>
        <row r="398">
          <cell r="F398" t="str">
            <v>Aug</v>
          </cell>
        </row>
        <row r="399">
          <cell r="F399" t="str">
            <v>Sep</v>
          </cell>
        </row>
        <row r="400">
          <cell r="F400" t="str">
            <v>Okt</v>
          </cell>
        </row>
        <row r="401">
          <cell r="F401" t="str">
            <v>Nov</v>
          </cell>
        </row>
        <row r="402">
          <cell r="F402" t="str">
            <v>Dez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38CF-42BF-4B7D-B525-C2D7299BAD36}">
  <dimension ref="A1:DR39"/>
  <sheetViews>
    <sheetView tabSelected="1" topLeftCell="A4" workbookViewId="0">
      <pane xSplit="1" topLeftCell="B1" activePane="topRight" state="frozen"/>
      <selection activeCell="A4" sqref="A4"/>
      <selection pane="topRight" activeCell="AQ10" sqref="AQ10"/>
    </sheetView>
  </sheetViews>
  <sheetFormatPr baseColWidth="10" defaultRowHeight="14.5" x14ac:dyDescent="0.35"/>
  <cols>
    <col min="2" max="2" width="26.54296875" bestFit="1" customWidth="1"/>
    <col min="42" max="43" width="10.90625" style="143"/>
  </cols>
  <sheetData>
    <row r="1" spans="1:122" ht="15.5" x14ac:dyDescent="0.35">
      <c r="A1" s="1" t="str">
        <f>[1]Begriffe!F184</f>
        <v>SIA 2024 - Eingabedaten</v>
      </c>
      <c r="C1" s="2"/>
      <c r="D1" s="3"/>
      <c r="E1" s="3"/>
      <c r="F1" s="3"/>
      <c r="G1" s="2"/>
      <c r="H1" s="2"/>
      <c r="I1" s="3"/>
      <c r="J1" s="3"/>
      <c r="AP1"/>
      <c r="AQ1"/>
      <c r="CR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</row>
    <row r="2" spans="1:122" ht="7.5" customHeight="1" x14ac:dyDescent="0.35">
      <c r="A2" s="1"/>
      <c r="C2" s="2"/>
      <c r="D2" s="3"/>
      <c r="E2" s="3"/>
      <c r="F2" s="3"/>
      <c r="G2" s="2"/>
      <c r="H2" s="2"/>
      <c r="I2" s="3"/>
      <c r="J2" s="3"/>
      <c r="AP2"/>
      <c r="AQ2"/>
      <c r="CR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</row>
    <row r="3" spans="1:122" s="4" customFormat="1" ht="12" customHeight="1" x14ac:dyDescent="0.25">
      <c r="D3" s="5"/>
      <c r="E3" s="5"/>
      <c r="F3" s="5"/>
      <c r="G3" s="5" t="s">
        <v>0</v>
      </c>
      <c r="H3" s="5" t="s">
        <v>0</v>
      </c>
      <c r="I3" s="5"/>
      <c r="J3" s="5"/>
      <c r="AD3" s="4" t="s">
        <v>0</v>
      </c>
      <c r="AE3" s="4" t="s">
        <v>0</v>
      </c>
      <c r="AF3" s="4" t="s">
        <v>0</v>
      </c>
      <c r="AR3" s="4" t="s">
        <v>0</v>
      </c>
      <c r="AS3" s="4" t="s">
        <v>0</v>
      </c>
      <c r="AT3" s="4" t="s">
        <v>0</v>
      </c>
      <c r="AU3" s="4" t="s">
        <v>0</v>
      </c>
      <c r="CR3" s="4" t="s">
        <v>0</v>
      </c>
      <c r="DG3" s="4" t="s">
        <v>0</v>
      </c>
      <c r="DH3" s="4" t="s">
        <v>0</v>
      </c>
      <c r="DI3" s="4" t="s">
        <v>0</v>
      </c>
      <c r="DJ3" s="4" t="s">
        <v>0</v>
      </c>
      <c r="DK3" s="4" t="s">
        <v>0</v>
      </c>
      <c r="DN3" s="4" t="s">
        <v>0</v>
      </c>
      <c r="DO3" s="4" t="s">
        <v>0</v>
      </c>
      <c r="DP3" s="4" t="s">
        <v>0</v>
      </c>
      <c r="DQ3" s="4" t="s">
        <v>0</v>
      </c>
      <c r="DR3" s="4" t="s">
        <v>0</v>
      </c>
    </row>
    <row r="4" spans="1:122" s="14" customFormat="1" ht="13" x14ac:dyDescent="0.3">
      <c r="A4" s="6" t="str">
        <f>[1]Begriffe!F186</f>
        <v>Raumnutzung</v>
      </c>
      <c r="B4" s="7"/>
      <c r="C4" s="6" t="str">
        <f>[1]Begriffe!F199</f>
        <v>Raumklima</v>
      </c>
      <c r="D4" s="10"/>
      <c r="E4" s="10"/>
      <c r="F4" s="10"/>
      <c r="G4" s="10"/>
      <c r="H4" s="10"/>
      <c r="I4" s="11"/>
      <c r="J4" s="12"/>
      <c r="K4" s="6" t="str">
        <f>[1]Begriffe!F204</f>
        <v>Personen</v>
      </c>
      <c r="L4" s="8"/>
      <c r="M4" s="8"/>
      <c r="N4" s="8"/>
      <c r="O4" s="8"/>
      <c r="P4" s="8"/>
      <c r="Q4" s="8"/>
      <c r="R4" s="8"/>
      <c r="S4" s="9"/>
      <c r="T4" s="6" t="str">
        <f>[1]Begriffe!F205</f>
        <v>Geräte und Prozessanlagen</v>
      </c>
      <c r="U4" s="8"/>
      <c r="V4" s="8"/>
      <c r="W4" s="8"/>
      <c r="X4" s="8"/>
      <c r="Y4" s="8"/>
      <c r="Z4" s="8"/>
      <c r="AA4" s="8"/>
      <c r="AB4" s="8"/>
      <c r="AC4" s="9"/>
      <c r="AD4" s="13" t="str">
        <f>[1]Begriffe!F218</f>
        <v>Betriebsleistung</v>
      </c>
      <c r="AE4" s="8"/>
      <c r="AF4" s="8"/>
      <c r="AG4" s="6" t="str">
        <f>[1]Begriffe!F206</f>
        <v>Beleuchtung</v>
      </c>
      <c r="AH4" s="8"/>
      <c r="AI4" s="8"/>
      <c r="AJ4" s="8"/>
      <c r="AK4" s="8"/>
      <c r="AL4" s="8"/>
      <c r="AM4" s="8"/>
      <c r="AN4" s="8"/>
      <c r="AO4" s="9"/>
      <c r="AP4" s="13" t="s">
        <v>28</v>
      </c>
      <c r="AQ4" s="8"/>
      <c r="AR4" s="13" t="str">
        <f>[1]Begriffe!F221</f>
        <v>Befeuchtung</v>
      </c>
      <c r="AS4" s="8"/>
      <c r="AT4" s="8"/>
      <c r="AU4" s="9"/>
      <c r="AV4" s="6" t="str">
        <f>[1]Begriffe!F227</f>
        <v>Personenprofil (Nutzungstag)</v>
      </c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9"/>
      <c r="BT4" s="6" t="str">
        <f>[1]Begriffe!F228</f>
        <v>Geräteprofil (Nutzungstag)</v>
      </c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9"/>
      <c r="CR4" s="13"/>
      <c r="CS4" s="6" t="str">
        <f>[1]Begriffe!F54</f>
        <v>Jahresprofil</v>
      </c>
      <c r="CT4" s="8"/>
      <c r="CU4" s="8"/>
      <c r="CV4" s="8"/>
      <c r="CW4" s="8"/>
      <c r="CX4" s="8"/>
      <c r="CY4" s="8"/>
      <c r="CZ4" s="8"/>
      <c r="DA4" s="8"/>
      <c r="DB4" s="8"/>
      <c r="DC4" s="8"/>
      <c r="DD4" s="9"/>
      <c r="DE4" s="6" t="str">
        <f>[1]Begriffe!F229</f>
        <v>Nutzungstage</v>
      </c>
      <c r="DF4" s="9"/>
      <c r="DG4" s="13" t="str">
        <f>[1]Begriffe!F230</f>
        <v>Personen-Stunden</v>
      </c>
      <c r="DH4" s="8"/>
      <c r="DI4" s="8"/>
      <c r="DJ4" s="8"/>
      <c r="DK4" s="8"/>
      <c r="DL4" s="8"/>
      <c r="DM4" s="8"/>
      <c r="DN4" s="9"/>
      <c r="DO4" s="13" t="str">
        <f>[1]Begriffe!F231</f>
        <v>Geräte-Stunden</v>
      </c>
      <c r="DP4" s="8"/>
      <c r="DQ4" s="8"/>
      <c r="DR4" s="9"/>
    </row>
    <row r="5" spans="1:122" s="18" customFormat="1" ht="12" customHeight="1" x14ac:dyDescent="0.25">
      <c r="A5" s="15"/>
      <c r="B5" s="16"/>
      <c r="C5" s="20"/>
      <c r="D5" s="21"/>
      <c r="E5" s="22"/>
      <c r="F5" s="21"/>
      <c r="G5" s="21"/>
      <c r="H5" s="21"/>
      <c r="I5" s="22"/>
      <c r="J5" s="23"/>
      <c r="K5" s="17"/>
      <c r="S5" s="19"/>
      <c r="T5" s="17"/>
      <c r="AC5" s="19"/>
      <c r="AD5" s="17"/>
      <c r="AG5" s="17" t="s">
        <v>1</v>
      </c>
      <c r="AO5" s="19"/>
      <c r="AP5" s="17" t="s">
        <v>27</v>
      </c>
      <c r="AR5" s="17"/>
      <c r="AU5" s="19"/>
      <c r="AV5" s="17"/>
      <c r="BS5" s="19"/>
      <c r="BT5" s="17"/>
      <c r="CQ5" s="19"/>
      <c r="CR5" s="17"/>
      <c r="CS5" s="17"/>
      <c r="DD5" s="19"/>
      <c r="DE5" s="17"/>
      <c r="DF5" s="19"/>
      <c r="DG5" s="17"/>
      <c r="DN5" s="19"/>
      <c r="DO5" s="17"/>
      <c r="DR5" s="19"/>
    </row>
    <row r="6" spans="1:122" s="27" customFormat="1" ht="148.5" customHeight="1" x14ac:dyDescent="0.35">
      <c r="A6" s="24" t="s">
        <v>2</v>
      </c>
      <c r="B6" s="25" t="str">
        <f>[1]Begriffe!F185</f>
        <v>Bezeichnung</v>
      </c>
      <c r="C6" s="26" t="str">
        <f>[1]Begriffe!F93</f>
        <v>Raumtemperatur-Auslegungswert</v>
      </c>
      <c r="D6" s="27" t="str">
        <f>""</f>
        <v/>
      </c>
      <c r="E6" s="27" t="str">
        <f>[1]Begriffe!F79</f>
        <v>Mittlere Raumtemperatur</v>
      </c>
      <c r="F6" s="27" t="s">
        <v>3</v>
      </c>
      <c r="G6" s="27" t="str">
        <f>[1]Begriffe!F200</f>
        <v>Nutzung mit Klimatisierung</v>
      </c>
      <c r="H6" s="27" t="str">
        <f>""</f>
        <v/>
      </c>
      <c r="I6" s="27" t="str">
        <f>[1]Begriffe!F97</f>
        <v xml:space="preserve">Relative Raumluftfeuchte </v>
      </c>
      <c r="J6" s="29" t="str">
        <f>""</f>
        <v/>
      </c>
      <c r="K6" s="26" t="str">
        <f>[1]Begriffe!F87</f>
        <v>Personenfläche</v>
      </c>
      <c r="L6" s="30" t="str">
        <f>[1]Begriffe!F26</f>
        <v>Aktivitätsgrad</v>
      </c>
      <c r="M6" s="28" t="str">
        <f>[1]Begriffe!F118</f>
        <v>Wärmedämmwert der Bekleidung</v>
      </c>
      <c r="N6" s="27" t="str">
        <f>""</f>
        <v/>
      </c>
      <c r="O6" s="27" t="str">
        <f>[1]Begriffe!F100</f>
        <v>Sensible Wärmeabgabeleistung Pers.</v>
      </c>
      <c r="Q6" s="27" t="str">
        <f>[1]Begriffe!F43</f>
        <v>Feuchteproduktion Personen</v>
      </c>
      <c r="S6" s="25" t="str">
        <f>[1]Begriffe!F44</f>
        <v>Feuchtequellen (ohne Personen)</v>
      </c>
      <c r="T6" s="26" t="str">
        <f>[1]Begriffe!F39</f>
        <v>Elektrische Leistung der Geräte</v>
      </c>
      <c r="U6" s="27" t="str">
        <f>""</f>
        <v/>
      </c>
      <c r="V6" s="28" t="str">
        <f>""</f>
        <v/>
      </c>
      <c r="W6" s="28" t="str">
        <f>[1]Begriffe!F41</f>
        <v>Elektrische Leistung der Prozessanlagen</v>
      </c>
      <c r="X6" s="28" t="str">
        <f>""</f>
        <v/>
      </c>
      <c r="Y6" s="28" t="str">
        <f>""</f>
        <v/>
      </c>
      <c r="Z6" s="27" t="str">
        <f>[1]Begriffe!F121</f>
        <v>Wärmeeintragsleistung der Geräte</v>
      </c>
      <c r="AA6" s="27" t="str">
        <f>""</f>
        <v/>
      </c>
      <c r="AB6" s="27" t="str">
        <f>""</f>
        <v/>
      </c>
      <c r="AC6" s="25" t="str">
        <f>[1]Begriffe!F73</f>
        <v>Leistung ausserhalb der Nutzungszeit</v>
      </c>
      <c r="AD6" s="26" t="str">
        <f>""</f>
        <v/>
      </c>
      <c r="AE6" s="27" t="str">
        <f>""</f>
        <v/>
      </c>
      <c r="AF6" s="27" t="s">
        <v>4</v>
      </c>
      <c r="AG6" s="26" t="str">
        <f>[1]Begriffe!F34</f>
        <v>Beleuchtungsstärke</v>
      </c>
      <c r="AH6" s="27" t="str">
        <f>[1]Begriffe!F212</f>
        <v>Korrekturfaktor k0</v>
      </c>
      <c r="AI6" s="27" t="str">
        <f>[1]Begriffe!F96</f>
        <v>Referenzbeleuchtungsstärke</v>
      </c>
      <c r="AJ6" s="27" t="str">
        <f>[1]Begriffe!F89</f>
        <v>Präsenzart</v>
      </c>
      <c r="AK6" s="27" t="str">
        <f>[1]Begriffe!F69</f>
        <v>Korrekturfaktor für Präsenzregelung</v>
      </c>
      <c r="AL6" s="27" t="str">
        <f>[1]Begriffe!F70</f>
        <v>Korrekturfaktor Gleichzeitigkeit</v>
      </c>
      <c r="AM6" s="27" t="str">
        <f>[1]Begriffe!F35</f>
        <v>Bewertungsebene</v>
      </c>
      <c r="AN6" s="31" t="str">
        <f>[1]Begriffe!F83</f>
        <v>Nutzungsstunden pro Tag</v>
      </c>
      <c r="AO6" s="32" t="str">
        <f>[1]Begriffe!F210</f>
        <v>Nutzungsstunden pro Nacht</v>
      </c>
      <c r="AP6" s="28" t="s">
        <v>31</v>
      </c>
      <c r="AQ6" s="28" t="s">
        <v>32</v>
      </c>
      <c r="AR6" s="26" t="str">
        <f>[1]Begriffe!F44</f>
        <v>Feuchtequellen (ohne Personen)</v>
      </c>
      <c r="AS6" s="27" t="str">
        <f>""</f>
        <v/>
      </c>
      <c r="AT6" s="27" t="str">
        <f>""</f>
        <v/>
      </c>
      <c r="AU6" s="29" t="str">
        <f>""</f>
        <v/>
      </c>
      <c r="AV6" s="26">
        <v>1</v>
      </c>
      <c r="AW6" s="27">
        <v>2</v>
      </c>
      <c r="AX6" s="27">
        <v>3</v>
      </c>
      <c r="AY6" s="33">
        <v>4</v>
      </c>
      <c r="AZ6" s="28">
        <v>5</v>
      </c>
      <c r="BA6" s="34">
        <v>6</v>
      </c>
      <c r="BB6" s="27">
        <v>7</v>
      </c>
      <c r="BC6" s="27">
        <v>8</v>
      </c>
      <c r="BD6" s="27">
        <v>9</v>
      </c>
      <c r="BE6" s="33">
        <v>10</v>
      </c>
      <c r="BF6" s="28">
        <v>11</v>
      </c>
      <c r="BG6" s="34">
        <v>12</v>
      </c>
      <c r="BH6" s="27">
        <v>13</v>
      </c>
      <c r="BI6" s="27">
        <v>14</v>
      </c>
      <c r="BJ6" s="27">
        <v>15</v>
      </c>
      <c r="BK6" s="33">
        <v>16</v>
      </c>
      <c r="BL6" s="28">
        <v>17</v>
      </c>
      <c r="BM6" s="34">
        <v>18</v>
      </c>
      <c r="BN6" s="27">
        <v>19</v>
      </c>
      <c r="BO6" s="27">
        <v>20</v>
      </c>
      <c r="BP6" s="27">
        <v>21</v>
      </c>
      <c r="BQ6" s="33">
        <v>22</v>
      </c>
      <c r="BR6" s="27">
        <v>23</v>
      </c>
      <c r="BS6" s="25">
        <v>24</v>
      </c>
      <c r="BT6" s="26">
        <v>1</v>
      </c>
      <c r="BU6" s="27">
        <v>2</v>
      </c>
      <c r="BV6" s="27">
        <v>3</v>
      </c>
      <c r="BW6" s="33">
        <v>4</v>
      </c>
      <c r="BX6" s="28">
        <v>5</v>
      </c>
      <c r="BY6" s="34">
        <v>6</v>
      </c>
      <c r="BZ6" s="27">
        <v>7</v>
      </c>
      <c r="CA6" s="27">
        <v>8</v>
      </c>
      <c r="CB6" s="27">
        <v>9</v>
      </c>
      <c r="CC6" s="33">
        <v>10</v>
      </c>
      <c r="CD6" s="28">
        <v>11</v>
      </c>
      <c r="CE6" s="34">
        <v>12</v>
      </c>
      <c r="CF6" s="27">
        <v>13</v>
      </c>
      <c r="CG6" s="27">
        <v>14</v>
      </c>
      <c r="CH6" s="27">
        <v>15</v>
      </c>
      <c r="CI6" s="33">
        <v>16</v>
      </c>
      <c r="CJ6" s="28">
        <v>17</v>
      </c>
      <c r="CK6" s="34">
        <v>18</v>
      </c>
      <c r="CL6" s="27">
        <v>19</v>
      </c>
      <c r="CM6" s="27">
        <v>20</v>
      </c>
      <c r="CN6" s="27">
        <v>21</v>
      </c>
      <c r="CO6" s="33">
        <v>22</v>
      </c>
      <c r="CP6" s="27">
        <v>23</v>
      </c>
      <c r="CQ6" s="25">
        <v>24</v>
      </c>
      <c r="CR6" s="26" t="str">
        <f>""</f>
        <v/>
      </c>
      <c r="CS6" s="26" t="str">
        <f>[1]Begriffe!$F391</f>
        <v>Jan</v>
      </c>
      <c r="CT6" s="27" t="str">
        <f>[1]Begriffe!$F392</f>
        <v>Feb</v>
      </c>
      <c r="CU6" s="35" t="str">
        <f>[1]Begriffe!$F393</f>
        <v>Mrz</v>
      </c>
      <c r="CV6" s="27" t="str">
        <f>[1]Begriffe!$F394</f>
        <v>Apr</v>
      </c>
      <c r="CW6" s="27" t="str">
        <f>[1]Begriffe!$F395</f>
        <v>Mai</v>
      </c>
      <c r="CX6" s="35" t="str">
        <f>[1]Begriffe!$F396</f>
        <v>Jun</v>
      </c>
      <c r="CY6" s="27" t="str">
        <f>[1]Begriffe!$F397</f>
        <v>Jul</v>
      </c>
      <c r="CZ6" s="27" t="str">
        <f>[1]Begriffe!$F398</f>
        <v>Aug</v>
      </c>
      <c r="DA6" s="35" t="str">
        <f>[1]Begriffe!$F399</f>
        <v>Sep</v>
      </c>
      <c r="DB6" s="27" t="str">
        <f>[1]Begriffe!$F400</f>
        <v>Okt</v>
      </c>
      <c r="DC6" s="27" t="str">
        <f>[1]Begriffe!$F401</f>
        <v>Nov</v>
      </c>
      <c r="DD6" s="25" t="str">
        <f>[1]Begriffe!$F402</f>
        <v>Dez</v>
      </c>
      <c r="DE6" s="36" t="str">
        <f>[1]Begriffe!F99</f>
        <v>Ruhetage pro Woche</v>
      </c>
      <c r="DF6" s="37" t="str">
        <f>[1]Begriffe!F85</f>
        <v>Nutzungstage pro Jahr</v>
      </c>
      <c r="DG6" s="26" t="str">
        <f>[1]Begriffe!F211</f>
        <v>Nutzungsstunden</v>
      </c>
      <c r="DH6" s="27" t="str">
        <f>[1]Begriffe!F213</f>
        <v>Volllaststunden</v>
      </c>
      <c r="DI6" s="38" t="str">
        <f>[1]Begriffe!F214</f>
        <v>Volllaststunden (7-18h)</v>
      </c>
      <c r="DJ6" s="38" t="str">
        <f>[1]Begriffe!F215</f>
        <v>Vollaststunden (18-7h)</v>
      </c>
      <c r="DK6" s="27" t="str">
        <f>[1]Begriffe!F52</f>
        <v>Jahresgleichzeitigkeit</v>
      </c>
      <c r="DL6" s="27" t="s">
        <v>5</v>
      </c>
      <c r="DM6" s="27" t="s">
        <v>6</v>
      </c>
      <c r="DN6" s="25" t="str">
        <f>[1]Begriffe!F112</f>
        <v>Volllaststunden pro Jahr</v>
      </c>
      <c r="DO6" s="26" t="str">
        <f>[1]Begriffe!F216</f>
        <v>Nutzungsstunden</v>
      </c>
      <c r="DP6" s="27" t="str">
        <f>[1]Begriffe!F217</f>
        <v>Volllaststunden</v>
      </c>
      <c r="DQ6" s="27" t="str">
        <f>[1]Begriffe!F264</f>
        <v>Volllaststunden Ruhetag</v>
      </c>
      <c r="DR6" s="25" t="str">
        <f>[1]Begriffe!F265</f>
        <v>Jährliche Geräte-Volllaststunden</v>
      </c>
    </row>
    <row r="7" spans="1:122" s="30" customFormat="1" ht="46.5" customHeight="1" x14ac:dyDescent="0.35">
      <c r="A7" s="39"/>
      <c r="B7" s="40"/>
      <c r="C7" s="39" t="str">
        <f>[1]Begriffe!$F240</f>
        <v>Kühlfall</v>
      </c>
      <c r="D7" s="30" t="str">
        <f>[1]Begriffe!$F241</f>
        <v>Heizfall</v>
      </c>
      <c r="E7" s="30" t="str">
        <f>[1]Begriffe!$F240</f>
        <v>Kühlfall</v>
      </c>
      <c r="F7" s="30" t="str">
        <f>[1]Begriffe!$F241</f>
        <v>Heizfall</v>
      </c>
      <c r="I7" s="30" t="str">
        <f>[1]Begriffe!$F240</f>
        <v>Kühlfall</v>
      </c>
      <c r="J7" s="40" t="str">
        <f>[1]Begriffe!$F241</f>
        <v>Heizfall</v>
      </c>
      <c r="K7" s="39"/>
      <c r="M7" s="30" t="str">
        <f>[1]Begriffe!$F240</f>
        <v>Kühlfall</v>
      </c>
      <c r="N7" s="30" t="str">
        <f>[1]Begriffe!$F241</f>
        <v>Heizfall</v>
      </c>
      <c r="O7" s="30" t="str">
        <f>[1]Begriffe!$F240</f>
        <v>Kühlfall</v>
      </c>
      <c r="P7" s="30" t="str">
        <f>[1]Begriffe!$F241</f>
        <v>Heizfall</v>
      </c>
      <c r="Q7" s="30" t="str">
        <f>[1]Begriffe!$F240</f>
        <v>Kühlfall</v>
      </c>
      <c r="R7" s="30" t="str">
        <f>[1]Begriffe!$F241</f>
        <v>Heizfall</v>
      </c>
      <c r="S7" s="40"/>
      <c r="T7" s="39" t="str">
        <f>[1]Begriffe!$F235</f>
        <v>Standard</v>
      </c>
      <c r="U7" s="30" t="str">
        <f>[1]Begriffe!$F236</f>
        <v>Zielwert</v>
      </c>
      <c r="V7" s="30" t="str">
        <f>[1]Begriffe!$F237</f>
        <v>Bestand</v>
      </c>
      <c r="W7" s="30" t="str">
        <f>[1]Begriffe!$F235</f>
        <v>Standard</v>
      </c>
      <c r="X7" s="30" t="str">
        <f>[1]Begriffe!$F236</f>
        <v>Zielwert</v>
      </c>
      <c r="Y7" s="30" t="str">
        <f>[1]Begriffe!$F237</f>
        <v>Bestand</v>
      </c>
      <c r="Z7" s="30" t="str">
        <f>[1]Begriffe!$F235</f>
        <v>Standard</v>
      </c>
      <c r="AA7" s="30" t="str">
        <f>[1]Begriffe!$F236</f>
        <v>Zielwert</v>
      </c>
      <c r="AB7" s="30" t="str">
        <f>[1]Begriffe!$F237</f>
        <v>Bestand</v>
      </c>
      <c r="AC7" s="40"/>
      <c r="AD7" s="39" t="str">
        <f>[1]Begriffe!$F235</f>
        <v>Standard</v>
      </c>
      <c r="AE7" s="30" t="str">
        <f>[1]Begriffe!$F235</f>
        <v>Standard</v>
      </c>
      <c r="AG7" s="39"/>
      <c r="AK7" s="30" t="str">
        <f>[1]Begriffe!$F236</f>
        <v>Zielwert</v>
      </c>
      <c r="AN7" s="41"/>
      <c r="AO7" s="42"/>
      <c r="AP7" s="30" t="s">
        <v>33</v>
      </c>
      <c r="AR7" s="39" t="str">
        <f>[1]Begriffe!$F235</f>
        <v>Standard</v>
      </c>
      <c r="AS7" s="30" t="str">
        <f>[1]Begriffe!$F236</f>
        <v>Zielwert</v>
      </c>
      <c r="AT7" s="30" t="str">
        <f>[1]Begriffe!$F237</f>
        <v>Bestand</v>
      </c>
      <c r="AU7" s="40"/>
      <c r="AV7" s="39"/>
      <c r="AY7" s="43"/>
      <c r="BA7" s="44"/>
      <c r="BE7" s="43"/>
      <c r="BG7" s="44"/>
      <c r="BK7" s="43"/>
      <c r="BM7" s="44"/>
      <c r="BQ7" s="43"/>
      <c r="BS7" s="40"/>
      <c r="BT7" s="39"/>
      <c r="BW7" s="43"/>
      <c r="BY7" s="44"/>
      <c r="CC7" s="43"/>
      <c r="CE7" s="44"/>
      <c r="CI7" s="43"/>
      <c r="CK7" s="44"/>
      <c r="CO7" s="43"/>
      <c r="CQ7" s="40"/>
      <c r="CR7" s="39"/>
      <c r="CS7" s="39"/>
      <c r="CV7" s="43"/>
      <c r="CX7" s="44"/>
      <c r="DB7" s="43"/>
      <c r="DD7" s="40"/>
      <c r="DE7" s="45"/>
      <c r="DF7" s="46"/>
      <c r="DG7" s="39"/>
      <c r="DI7" s="47"/>
      <c r="DJ7" s="47"/>
      <c r="DK7" s="48"/>
      <c r="DL7" s="48"/>
      <c r="DM7" s="48"/>
      <c r="DN7" s="40"/>
      <c r="DO7" s="39"/>
      <c r="DR7" s="40"/>
    </row>
    <row r="8" spans="1:122" s="27" customFormat="1" ht="48" customHeight="1" x14ac:dyDescent="0.35">
      <c r="A8" s="49" t="s">
        <v>7</v>
      </c>
      <c r="B8" s="51"/>
      <c r="C8" s="49" t="s">
        <v>11</v>
      </c>
      <c r="D8" s="50" t="s">
        <v>11</v>
      </c>
      <c r="E8" s="50" t="s">
        <v>11</v>
      </c>
      <c r="F8" s="50" t="s">
        <v>11</v>
      </c>
      <c r="G8" s="50"/>
      <c r="H8" s="50"/>
      <c r="I8" s="50" t="s">
        <v>9</v>
      </c>
      <c r="J8" s="51" t="s">
        <v>9</v>
      </c>
      <c r="K8" s="49" t="s">
        <v>12</v>
      </c>
      <c r="L8" s="50" t="s">
        <v>13</v>
      </c>
      <c r="M8" s="50" t="s">
        <v>14</v>
      </c>
      <c r="N8" s="50" t="s">
        <v>14</v>
      </c>
      <c r="O8" s="50" t="s">
        <v>15</v>
      </c>
      <c r="P8" s="50" t="s">
        <v>15</v>
      </c>
      <c r="Q8" s="50" t="s">
        <v>16</v>
      </c>
      <c r="R8" s="50" t="s">
        <v>16</v>
      </c>
      <c r="S8" s="51" t="s">
        <v>17</v>
      </c>
      <c r="T8" s="49" t="s">
        <v>18</v>
      </c>
      <c r="U8" s="50" t="s">
        <v>18</v>
      </c>
      <c r="V8" s="50" t="s">
        <v>18</v>
      </c>
      <c r="W8" s="50" t="s">
        <v>18</v>
      </c>
      <c r="X8" s="50" t="s">
        <v>18</v>
      </c>
      <c r="Y8" s="50" t="s">
        <v>18</v>
      </c>
      <c r="Z8" s="50" t="s">
        <v>18</v>
      </c>
      <c r="AA8" s="50" t="s">
        <v>18</v>
      </c>
      <c r="AB8" s="50" t="s">
        <v>18</v>
      </c>
      <c r="AC8" s="51" t="s">
        <v>9</v>
      </c>
      <c r="AD8" s="49" t="s">
        <v>18</v>
      </c>
      <c r="AE8" s="50" t="s">
        <v>18</v>
      </c>
      <c r="AF8" s="50" t="s">
        <v>10</v>
      </c>
      <c r="AG8" s="49" t="s">
        <v>19</v>
      </c>
      <c r="AH8" s="50"/>
      <c r="AI8" s="50" t="s">
        <v>19</v>
      </c>
      <c r="AJ8" s="50"/>
      <c r="AK8" s="50"/>
      <c r="AL8" s="50" t="s">
        <v>10</v>
      </c>
      <c r="AM8" s="50" t="s">
        <v>8</v>
      </c>
      <c r="AN8" s="50" t="s">
        <v>20</v>
      </c>
      <c r="AO8" s="51" t="s">
        <v>20</v>
      </c>
      <c r="AP8" s="50" t="s">
        <v>34</v>
      </c>
      <c r="AQ8" s="50" t="s">
        <v>35</v>
      </c>
      <c r="AR8" s="49" t="s">
        <v>21</v>
      </c>
      <c r="AS8" s="50" t="s">
        <v>21</v>
      </c>
      <c r="AT8" s="50" t="s">
        <v>21</v>
      </c>
      <c r="AU8" s="52" t="s">
        <v>10</v>
      </c>
      <c r="AV8" s="49">
        <v>1</v>
      </c>
      <c r="AW8" s="50">
        <v>1</v>
      </c>
      <c r="AX8" s="50">
        <v>1</v>
      </c>
      <c r="AY8" s="53">
        <v>1</v>
      </c>
      <c r="AZ8" s="50">
        <v>1</v>
      </c>
      <c r="BA8" s="54">
        <v>1</v>
      </c>
      <c r="BB8" s="50">
        <v>1</v>
      </c>
      <c r="BC8" s="50">
        <v>1</v>
      </c>
      <c r="BD8" s="50">
        <v>1</v>
      </c>
      <c r="BE8" s="53">
        <v>1</v>
      </c>
      <c r="BF8" s="50">
        <v>1</v>
      </c>
      <c r="BG8" s="54">
        <v>1</v>
      </c>
      <c r="BH8" s="50">
        <v>1</v>
      </c>
      <c r="BI8" s="50">
        <v>1</v>
      </c>
      <c r="BJ8" s="50">
        <v>1</v>
      </c>
      <c r="BK8" s="53">
        <v>1</v>
      </c>
      <c r="BL8" s="50">
        <v>1</v>
      </c>
      <c r="BM8" s="54">
        <v>1</v>
      </c>
      <c r="BN8" s="50">
        <v>1</v>
      </c>
      <c r="BO8" s="50">
        <v>1</v>
      </c>
      <c r="BP8" s="50">
        <v>1</v>
      </c>
      <c r="BQ8" s="53">
        <v>1</v>
      </c>
      <c r="BR8" s="50">
        <v>1</v>
      </c>
      <c r="BS8" s="51">
        <v>1</v>
      </c>
      <c r="BT8" s="49">
        <v>1</v>
      </c>
      <c r="BU8" s="50">
        <v>1</v>
      </c>
      <c r="BV8" s="50">
        <v>1</v>
      </c>
      <c r="BW8" s="53">
        <v>1</v>
      </c>
      <c r="BX8" s="50">
        <v>1</v>
      </c>
      <c r="BY8" s="54">
        <v>1</v>
      </c>
      <c r="BZ8" s="50">
        <v>1</v>
      </c>
      <c r="CA8" s="50">
        <v>1</v>
      </c>
      <c r="CB8" s="50">
        <v>1</v>
      </c>
      <c r="CC8" s="53">
        <v>1</v>
      </c>
      <c r="CD8" s="50">
        <v>1</v>
      </c>
      <c r="CE8" s="54">
        <v>1</v>
      </c>
      <c r="CF8" s="50">
        <v>1</v>
      </c>
      <c r="CG8" s="50">
        <v>1</v>
      </c>
      <c r="CH8" s="50">
        <v>1</v>
      </c>
      <c r="CI8" s="53">
        <v>1</v>
      </c>
      <c r="CJ8" s="50">
        <v>1</v>
      </c>
      <c r="CK8" s="54">
        <v>1</v>
      </c>
      <c r="CL8" s="50">
        <v>1</v>
      </c>
      <c r="CM8" s="50">
        <v>1</v>
      </c>
      <c r="CN8" s="50">
        <v>1</v>
      </c>
      <c r="CO8" s="53">
        <v>1</v>
      </c>
      <c r="CP8" s="50">
        <v>1</v>
      </c>
      <c r="CQ8" s="51">
        <v>1</v>
      </c>
      <c r="CR8" s="49"/>
      <c r="CS8" s="49">
        <v>31</v>
      </c>
      <c r="CT8" s="50">
        <v>28</v>
      </c>
      <c r="CU8" s="50">
        <v>31</v>
      </c>
      <c r="CV8" s="53">
        <v>30</v>
      </c>
      <c r="CW8" s="50">
        <v>31</v>
      </c>
      <c r="CX8" s="54">
        <v>30</v>
      </c>
      <c r="CY8" s="50">
        <v>31</v>
      </c>
      <c r="CZ8" s="50">
        <v>31</v>
      </c>
      <c r="DA8" s="50">
        <v>30</v>
      </c>
      <c r="DB8" s="53">
        <v>31</v>
      </c>
      <c r="DC8" s="50">
        <v>30</v>
      </c>
      <c r="DD8" s="51">
        <v>31</v>
      </c>
      <c r="DE8" s="55" t="s">
        <v>22</v>
      </c>
      <c r="DF8" s="56" t="s">
        <v>22</v>
      </c>
      <c r="DG8" s="49" t="s">
        <v>23</v>
      </c>
      <c r="DH8" s="50" t="s">
        <v>23</v>
      </c>
      <c r="DI8" s="57" t="s">
        <v>23</v>
      </c>
      <c r="DJ8" s="57" t="s">
        <v>23</v>
      </c>
      <c r="DK8" s="50" t="s">
        <v>10</v>
      </c>
      <c r="DL8" s="50" t="s">
        <v>24</v>
      </c>
      <c r="DM8" s="50" t="s">
        <v>24</v>
      </c>
      <c r="DN8" s="51" t="s">
        <v>24</v>
      </c>
      <c r="DO8" s="49" t="s">
        <v>23</v>
      </c>
      <c r="DP8" s="50" t="s">
        <v>23</v>
      </c>
      <c r="DQ8" s="50" t="s">
        <v>23</v>
      </c>
      <c r="DR8" s="51" t="s">
        <v>24</v>
      </c>
    </row>
    <row r="9" spans="1:122" s="4" customFormat="1" ht="12" customHeight="1" x14ac:dyDescent="0.25">
      <c r="A9" s="86">
        <v>3.01</v>
      </c>
      <c r="B9" s="79" t="str">
        <f>[1]Begriffe!F138</f>
        <v>Einzel-, Gruppenbüro</v>
      </c>
      <c r="C9" s="62">
        <v>26</v>
      </c>
      <c r="D9" s="63">
        <v>21</v>
      </c>
      <c r="E9" s="63">
        <v>25</v>
      </c>
      <c r="F9" s="63">
        <v>22</v>
      </c>
      <c r="G9" s="64" t="s">
        <v>0</v>
      </c>
      <c r="H9" s="65" t="s">
        <v>25</v>
      </c>
      <c r="I9" s="65">
        <v>60</v>
      </c>
      <c r="J9" s="66">
        <v>30</v>
      </c>
      <c r="K9" s="67">
        <v>14</v>
      </c>
      <c r="L9" s="59">
        <v>1.2</v>
      </c>
      <c r="M9" s="59">
        <v>0.5</v>
      </c>
      <c r="N9" s="59">
        <v>1</v>
      </c>
      <c r="O9" s="60">
        <f t="shared" ref="O9:O13" si="0">IF(L9=1.2,84,IF(L9=2,71,IF(L9=3,55,0)))</f>
        <v>84</v>
      </c>
      <c r="P9" s="60">
        <f t="shared" ref="P9:P13" si="1">IF(L9=1.2,94,IF(L9=2,86,IF(L9=3,76,0)))</f>
        <v>94</v>
      </c>
      <c r="Q9" s="60">
        <f t="shared" ref="Q9:Q13" si="2">IF(L9=1.2,51,IF(L9=2,109,IF(L9=3,181,0)))</f>
        <v>51</v>
      </c>
      <c r="R9" s="60">
        <f t="shared" ref="R9:R13" si="3">IF(L9=1.2,66,IF(L9=2,126,IF(L9=3,201,0)))</f>
        <v>66</v>
      </c>
      <c r="S9" s="68">
        <v>0.5</v>
      </c>
      <c r="T9" s="67">
        <v>11</v>
      </c>
      <c r="U9" s="61">
        <v>6</v>
      </c>
      <c r="V9" s="61">
        <v>18</v>
      </c>
      <c r="W9" s="61"/>
      <c r="X9" s="61"/>
      <c r="Y9" s="61"/>
      <c r="Z9" s="61">
        <f t="shared" ref="Z9:AB12" si="4">T9</f>
        <v>11</v>
      </c>
      <c r="AA9" s="61">
        <f t="shared" si="4"/>
        <v>6</v>
      </c>
      <c r="AB9" s="61">
        <f t="shared" si="4"/>
        <v>18</v>
      </c>
      <c r="AC9" s="77">
        <v>30</v>
      </c>
      <c r="AD9" s="70">
        <f t="shared" ref="AD9:AD14" si="5">T9+W9</f>
        <v>11</v>
      </c>
      <c r="AE9" s="61">
        <v>50</v>
      </c>
      <c r="AF9" s="59">
        <f t="shared" ref="AF9:AF14" si="6">IF(AD9=0,0,AE9/AD9)</f>
        <v>4.5454545454545459</v>
      </c>
      <c r="AG9" s="67">
        <f t="shared" ref="AG9:AG14" si="7">AI9/AH9</f>
        <v>500</v>
      </c>
      <c r="AH9" s="59">
        <v>1</v>
      </c>
      <c r="AI9" s="61">
        <v>500</v>
      </c>
      <c r="AJ9" s="61" t="str">
        <f>[1]Begriffe!$F$208</f>
        <v>NP</v>
      </c>
      <c r="AK9" s="59">
        <v>0.7</v>
      </c>
      <c r="AL9" s="59">
        <v>1</v>
      </c>
      <c r="AM9" s="78">
        <v>0.75</v>
      </c>
      <c r="AN9" s="60">
        <f>SUMIF(BC9:BM9,"&gt;0",BC$8:BM$8)</f>
        <v>11</v>
      </c>
      <c r="AO9" s="69">
        <f>IF(OR(A9=10.01,A9=12.11,A9=12.12),0,IF(OR(A9=1.01,A9=1.02,A9=2.01,A9=8.01),SUMIF(BC9:BP9,"&gt;0",BC$8:BP$8),SUMIF(AV9:BS9,"&gt;0",AV$8:BS$8))-AN9)</f>
        <v>0</v>
      </c>
      <c r="AP9" s="60">
        <v>29</v>
      </c>
      <c r="AQ9" s="59">
        <v>2.0714285714285716</v>
      </c>
      <c r="AR9" s="67">
        <v>1</v>
      </c>
      <c r="AS9" s="61">
        <v>2</v>
      </c>
      <c r="AT9" s="61">
        <v>0</v>
      </c>
      <c r="AU9" s="58">
        <v>0.5</v>
      </c>
      <c r="AV9" s="74"/>
      <c r="AW9" s="71"/>
      <c r="AX9" s="71"/>
      <c r="AY9" s="72"/>
      <c r="AZ9" s="71"/>
      <c r="BA9" s="75"/>
      <c r="BB9" s="71"/>
      <c r="BC9" s="71">
        <v>0.2</v>
      </c>
      <c r="BD9" s="71">
        <v>0.6</v>
      </c>
      <c r="BE9" s="72">
        <v>1</v>
      </c>
      <c r="BF9" s="71">
        <v>1</v>
      </c>
      <c r="BG9" s="75">
        <v>0.8</v>
      </c>
      <c r="BH9" s="71">
        <v>0.4</v>
      </c>
      <c r="BI9" s="71">
        <v>0.6</v>
      </c>
      <c r="BJ9" s="71">
        <v>1</v>
      </c>
      <c r="BK9" s="72">
        <v>0.8</v>
      </c>
      <c r="BL9" s="71">
        <v>0.6</v>
      </c>
      <c r="BM9" s="75">
        <v>0.2</v>
      </c>
      <c r="BN9" s="71"/>
      <c r="BO9" s="71"/>
      <c r="BP9" s="71"/>
      <c r="BQ9" s="72"/>
      <c r="BR9" s="71"/>
      <c r="BS9" s="76"/>
      <c r="BT9" s="74">
        <v>0.3</v>
      </c>
      <c r="BU9" s="71">
        <v>0.3</v>
      </c>
      <c r="BV9" s="71">
        <v>0.3</v>
      </c>
      <c r="BW9" s="72">
        <v>0.3</v>
      </c>
      <c r="BX9" s="71">
        <v>0.3</v>
      </c>
      <c r="BY9" s="75">
        <v>0.3</v>
      </c>
      <c r="BZ9" s="71">
        <v>0.3</v>
      </c>
      <c r="CA9" s="71">
        <v>0.3</v>
      </c>
      <c r="CB9" s="71">
        <v>0.6</v>
      </c>
      <c r="CC9" s="72">
        <v>0.8</v>
      </c>
      <c r="CD9" s="71">
        <v>1</v>
      </c>
      <c r="CE9" s="75">
        <v>0.8</v>
      </c>
      <c r="CF9" s="71">
        <v>0.4</v>
      </c>
      <c r="CG9" s="71">
        <v>0.6</v>
      </c>
      <c r="CH9" s="71">
        <v>1</v>
      </c>
      <c r="CI9" s="72">
        <v>0.8</v>
      </c>
      <c r="CJ9" s="71">
        <v>0.6</v>
      </c>
      <c r="CK9" s="75">
        <v>0.3</v>
      </c>
      <c r="CL9" s="71">
        <v>0.3</v>
      </c>
      <c r="CM9" s="71">
        <v>0.3</v>
      </c>
      <c r="CN9" s="71">
        <v>0.3</v>
      </c>
      <c r="CO9" s="72">
        <v>0.3</v>
      </c>
      <c r="CP9" s="71">
        <v>0.3</v>
      </c>
      <c r="CQ9" s="76">
        <v>0.3</v>
      </c>
      <c r="CR9" s="73" t="s">
        <v>26</v>
      </c>
      <c r="CS9" s="74">
        <v>0.8</v>
      </c>
      <c r="CT9" s="71">
        <v>0.8</v>
      </c>
      <c r="CU9" s="71">
        <v>0.8</v>
      </c>
      <c r="CV9" s="72">
        <v>0.8</v>
      </c>
      <c r="CW9" s="71">
        <v>0.8</v>
      </c>
      <c r="CX9" s="75">
        <v>0.8</v>
      </c>
      <c r="CY9" s="71">
        <v>0.8</v>
      </c>
      <c r="CZ9" s="71">
        <v>0.8</v>
      </c>
      <c r="DA9" s="71">
        <v>0.8</v>
      </c>
      <c r="DB9" s="72">
        <v>0.8</v>
      </c>
      <c r="DC9" s="71">
        <v>0.8</v>
      </c>
      <c r="DD9" s="76">
        <v>0.8</v>
      </c>
      <c r="DE9" s="87">
        <v>2</v>
      </c>
      <c r="DF9" s="82">
        <f t="shared" ref="DF9:DF14" si="8">365-(52*DE9)</f>
        <v>261</v>
      </c>
      <c r="DG9" s="80">
        <f t="shared" ref="DG9:DG14" si="9">SUMIF(AV9:BS9,"&gt;0",AV$8:BS$8)</f>
        <v>11</v>
      </c>
      <c r="DH9" s="81">
        <f t="shared" ref="DH9:DH14" si="10">SUM(AV9:BS9)</f>
        <v>7.1999999999999993</v>
      </c>
      <c r="DI9" s="81">
        <f t="shared" ref="DI9:DI14" si="11">SUM(BC9:BM9)</f>
        <v>7.1999999999999993</v>
      </c>
      <c r="DJ9" s="81">
        <f t="shared" ref="DJ9:DJ14" si="12">SUM(AV9:BB9,BN9:BS9)</f>
        <v>0</v>
      </c>
      <c r="DK9" s="83">
        <f t="shared" ref="DK9:DK14" si="13">SUMPRODUCT(CS9:DD9,CS$8:DD$8)/365</f>
        <v>0.80000000000000016</v>
      </c>
      <c r="DL9" s="84">
        <f t="shared" ref="DL9:DL14" si="14">ROUND(DF9*DG9,-1)</f>
        <v>2870</v>
      </c>
      <c r="DM9" s="84">
        <f>ROUND(DF9*(AN9+AO9),-1)</f>
        <v>2870</v>
      </c>
      <c r="DN9" s="85">
        <f>ROUND(DH9*DF9*DK9,-1)</f>
        <v>1500</v>
      </c>
      <c r="DO9" s="80">
        <f t="shared" ref="DO9:DO14" si="15">SUMIF(BT9:CQ9,"&gt;0",AV$8:BS$8)</f>
        <v>24</v>
      </c>
      <c r="DP9" s="81">
        <f t="shared" ref="DP9:DP14" si="16">SUM(BT9:CQ9)</f>
        <v>11.100000000000005</v>
      </c>
      <c r="DQ9" s="81">
        <f>AC9%*24</f>
        <v>7.1999999999999993</v>
      </c>
      <c r="DR9" s="85">
        <f>ROUND((DP9*DF9+DQ9*(365-DF9))*DK9,-1)</f>
        <v>2920</v>
      </c>
    </row>
    <row r="10" spans="1:122" s="4" customFormat="1" ht="12" customHeight="1" x14ac:dyDescent="0.25">
      <c r="A10" s="132">
        <v>3.02</v>
      </c>
      <c r="B10" s="85" t="str">
        <f>[1]Begriffe!F139</f>
        <v>Grossraumbüro</v>
      </c>
      <c r="C10" s="118">
        <v>26</v>
      </c>
      <c r="D10" s="119">
        <v>21</v>
      </c>
      <c r="E10" s="119">
        <v>25</v>
      </c>
      <c r="F10" s="119">
        <v>22</v>
      </c>
      <c r="G10" s="120" t="s">
        <v>0</v>
      </c>
      <c r="H10" s="121" t="s">
        <v>25</v>
      </c>
      <c r="I10" s="121">
        <v>60</v>
      </c>
      <c r="J10" s="122">
        <v>30</v>
      </c>
      <c r="K10" s="123">
        <v>10</v>
      </c>
      <c r="L10" s="116">
        <v>1.2</v>
      </c>
      <c r="M10" s="116">
        <v>0.5</v>
      </c>
      <c r="N10" s="116">
        <v>1</v>
      </c>
      <c r="O10" s="117">
        <f t="shared" si="0"/>
        <v>84</v>
      </c>
      <c r="P10" s="117">
        <f t="shared" si="1"/>
        <v>94</v>
      </c>
      <c r="Q10" s="117">
        <f t="shared" si="2"/>
        <v>51</v>
      </c>
      <c r="R10" s="117">
        <f t="shared" si="3"/>
        <v>66</v>
      </c>
      <c r="S10" s="124">
        <v>0.5</v>
      </c>
      <c r="T10" s="123">
        <v>15</v>
      </c>
      <c r="U10" s="88">
        <v>10</v>
      </c>
      <c r="V10" s="88">
        <v>20</v>
      </c>
      <c r="W10" s="88"/>
      <c r="X10" s="88"/>
      <c r="Y10" s="88"/>
      <c r="Z10" s="88">
        <f t="shared" si="4"/>
        <v>15</v>
      </c>
      <c r="AA10" s="88">
        <f t="shared" si="4"/>
        <v>10</v>
      </c>
      <c r="AB10" s="88">
        <f t="shared" si="4"/>
        <v>20</v>
      </c>
      <c r="AC10" s="82">
        <v>30</v>
      </c>
      <c r="AD10" s="126">
        <f t="shared" si="5"/>
        <v>15</v>
      </c>
      <c r="AE10" s="88">
        <v>50</v>
      </c>
      <c r="AF10" s="116">
        <f t="shared" si="6"/>
        <v>3.3333333333333335</v>
      </c>
      <c r="AG10" s="123">
        <f t="shared" si="7"/>
        <v>500</v>
      </c>
      <c r="AH10" s="116">
        <v>1</v>
      </c>
      <c r="AI10" s="88">
        <v>500</v>
      </c>
      <c r="AJ10" s="88" t="str">
        <f>[1]Begriffe!$F$208</f>
        <v>NP</v>
      </c>
      <c r="AK10" s="116">
        <v>0.7</v>
      </c>
      <c r="AL10" s="116">
        <v>1</v>
      </c>
      <c r="AM10" s="83">
        <v>0.75</v>
      </c>
      <c r="AN10" s="117">
        <f>SUMIF(BC10:BM10,"&gt;0",BC$8:BM$8)</f>
        <v>11</v>
      </c>
      <c r="AO10" s="125">
        <f>IF(OR(A10=10.01,A10=12.11,A10=12.12),0,IF(OR(A10=1.01,A10=1.02,A10=2.01,A10=8.01),SUMIF(BC10:BP10,"&gt;0",BC$8:BP$8),SUMIF(AV10:BS10,"&gt;0",AV$8:BS$8))-AN10)</f>
        <v>0</v>
      </c>
      <c r="AP10" s="117">
        <v>29</v>
      </c>
      <c r="AQ10" s="116">
        <v>2.9</v>
      </c>
      <c r="AR10" s="123">
        <v>1</v>
      </c>
      <c r="AS10" s="88">
        <v>2</v>
      </c>
      <c r="AT10" s="88">
        <v>0</v>
      </c>
      <c r="AU10" s="114">
        <v>0.5</v>
      </c>
      <c r="AV10" s="80"/>
      <c r="AW10" s="81"/>
      <c r="AX10" s="81"/>
      <c r="AY10" s="129"/>
      <c r="AZ10" s="81"/>
      <c r="BA10" s="130"/>
      <c r="BB10" s="81"/>
      <c r="BC10" s="81">
        <v>0.2</v>
      </c>
      <c r="BD10" s="81">
        <v>0.6</v>
      </c>
      <c r="BE10" s="129">
        <v>1</v>
      </c>
      <c r="BF10" s="81">
        <v>1</v>
      </c>
      <c r="BG10" s="130">
        <v>0.8</v>
      </c>
      <c r="BH10" s="81">
        <v>0.4</v>
      </c>
      <c r="BI10" s="81">
        <v>0.6</v>
      </c>
      <c r="BJ10" s="81">
        <v>1</v>
      </c>
      <c r="BK10" s="129">
        <v>0.8</v>
      </c>
      <c r="BL10" s="81">
        <v>0.6</v>
      </c>
      <c r="BM10" s="130">
        <v>0.2</v>
      </c>
      <c r="BN10" s="81"/>
      <c r="BO10" s="81"/>
      <c r="BP10" s="81"/>
      <c r="BQ10" s="129"/>
      <c r="BR10" s="81"/>
      <c r="BS10" s="131"/>
      <c r="BT10" s="80">
        <v>0.3</v>
      </c>
      <c r="BU10" s="81">
        <v>0.3</v>
      </c>
      <c r="BV10" s="81">
        <v>0.3</v>
      </c>
      <c r="BW10" s="129">
        <v>0.3</v>
      </c>
      <c r="BX10" s="81">
        <v>0.3</v>
      </c>
      <c r="BY10" s="130">
        <v>0.3</v>
      </c>
      <c r="BZ10" s="81">
        <v>0.3</v>
      </c>
      <c r="CA10" s="81">
        <v>0.3</v>
      </c>
      <c r="CB10" s="81">
        <v>0.6</v>
      </c>
      <c r="CC10" s="129">
        <v>0.8</v>
      </c>
      <c r="CD10" s="81">
        <v>1</v>
      </c>
      <c r="CE10" s="130">
        <v>0.8</v>
      </c>
      <c r="CF10" s="81">
        <v>0.4</v>
      </c>
      <c r="CG10" s="81">
        <v>0.6</v>
      </c>
      <c r="CH10" s="81">
        <v>1</v>
      </c>
      <c r="CI10" s="129">
        <v>0.8</v>
      </c>
      <c r="CJ10" s="81">
        <v>0.6</v>
      </c>
      <c r="CK10" s="130">
        <v>0.3</v>
      </c>
      <c r="CL10" s="81">
        <v>0.3</v>
      </c>
      <c r="CM10" s="81">
        <v>0.3</v>
      </c>
      <c r="CN10" s="81">
        <v>0.3</v>
      </c>
      <c r="CO10" s="129">
        <v>0.3</v>
      </c>
      <c r="CP10" s="81">
        <v>0.3</v>
      </c>
      <c r="CQ10" s="131">
        <v>0.3</v>
      </c>
      <c r="CR10" s="80" t="s">
        <v>26</v>
      </c>
      <c r="CS10" s="80">
        <v>0.8</v>
      </c>
      <c r="CT10" s="81">
        <v>0.8</v>
      </c>
      <c r="CU10" s="81">
        <v>0.8</v>
      </c>
      <c r="CV10" s="129">
        <v>0.8</v>
      </c>
      <c r="CW10" s="81">
        <v>0.8</v>
      </c>
      <c r="CX10" s="130">
        <v>0.8</v>
      </c>
      <c r="CY10" s="81">
        <v>0.8</v>
      </c>
      <c r="CZ10" s="81">
        <v>0.8</v>
      </c>
      <c r="DA10" s="81">
        <v>0.8</v>
      </c>
      <c r="DB10" s="129">
        <v>0.8</v>
      </c>
      <c r="DC10" s="81">
        <v>0.8</v>
      </c>
      <c r="DD10" s="131">
        <v>0.8</v>
      </c>
      <c r="DE10" s="133">
        <v>2</v>
      </c>
      <c r="DF10" s="82">
        <f t="shared" si="8"/>
        <v>261</v>
      </c>
      <c r="DG10" s="80">
        <f t="shared" si="9"/>
        <v>11</v>
      </c>
      <c r="DH10" s="81">
        <f t="shared" si="10"/>
        <v>7.1999999999999993</v>
      </c>
      <c r="DI10" s="81">
        <f t="shared" si="11"/>
        <v>7.1999999999999993</v>
      </c>
      <c r="DJ10" s="81">
        <f t="shared" si="12"/>
        <v>0</v>
      </c>
      <c r="DK10" s="83">
        <f t="shared" si="13"/>
        <v>0.80000000000000016</v>
      </c>
      <c r="DL10" s="84">
        <f t="shared" si="14"/>
        <v>2870</v>
      </c>
      <c r="DM10" s="84">
        <f>ROUND(DF10*(AN10+AO10),-1)</f>
        <v>2870</v>
      </c>
      <c r="DN10" s="85">
        <f t="shared" ref="DN10:DN14" si="17">ROUND(DH10*DF10*DK10,-1)</f>
        <v>1500</v>
      </c>
      <c r="DO10" s="80">
        <f t="shared" si="15"/>
        <v>24</v>
      </c>
      <c r="DP10" s="81">
        <f t="shared" si="16"/>
        <v>11.100000000000005</v>
      </c>
      <c r="DQ10" s="81">
        <f>AC10%*24</f>
        <v>7.1999999999999993</v>
      </c>
      <c r="DR10" s="85">
        <f t="shared" ref="DR10:DR14" si="18">ROUND((DP10*DF10+DQ10*(365-DF10))*DK10,-1)</f>
        <v>2920</v>
      </c>
    </row>
    <row r="11" spans="1:122" s="4" customFormat="1" ht="12" customHeight="1" x14ac:dyDescent="0.25">
      <c r="A11" s="132">
        <v>3.03</v>
      </c>
      <c r="B11" s="85" t="str">
        <f>[1]Begriffe!F140</f>
        <v>Sitzungszimmer</v>
      </c>
      <c r="C11" s="118">
        <v>26</v>
      </c>
      <c r="D11" s="119">
        <v>21</v>
      </c>
      <c r="E11" s="119">
        <v>25</v>
      </c>
      <c r="F11" s="119">
        <v>22</v>
      </c>
      <c r="G11" s="120" t="s">
        <v>0</v>
      </c>
      <c r="H11" s="121" t="s">
        <v>25</v>
      </c>
      <c r="I11" s="121">
        <v>60</v>
      </c>
      <c r="J11" s="122">
        <v>30</v>
      </c>
      <c r="K11" s="123">
        <v>3</v>
      </c>
      <c r="L11" s="116">
        <v>1.2</v>
      </c>
      <c r="M11" s="116">
        <v>0.5</v>
      </c>
      <c r="N11" s="116">
        <v>1</v>
      </c>
      <c r="O11" s="117">
        <f t="shared" si="0"/>
        <v>84</v>
      </c>
      <c r="P11" s="117">
        <f t="shared" si="1"/>
        <v>94</v>
      </c>
      <c r="Q11" s="117">
        <f t="shared" si="2"/>
        <v>51</v>
      </c>
      <c r="R11" s="117">
        <f t="shared" si="3"/>
        <v>66</v>
      </c>
      <c r="S11" s="124">
        <v>0.5</v>
      </c>
      <c r="T11" s="123">
        <v>8</v>
      </c>
      <c r="U11" s="88">
        <v>4</v>
      </c>
      <c r="V11" s="88">
        <v>12</v>
      </c>
      <c r="W11" s="88"/>
      <c r="X11" s="88"/>
      <c r="Y11" s="88"/>
      <c r="Z11" s="88">
        <f t="shared" si="4"/>
        <v>8</v>
      </c>
      <c r="AA11" s="88">
        <f t="shared" si="4"/>
        <v>4</v>
      </c>
      <c r="AB11" s="88">
        <f t="shared" si="4"/>
        <v>12</v>
      </c>
      <c r="AC11" s="82">
        <v>10</v>
      </c>
      <c r="AD11" s="126">
        <f t="shared" si="5"/>
        <v>8</v>
      </c>
      <c r="AE11" s="88">
        <v>50</v>
      </c>
      <c r="AF11" s="116">
        <f t="shared" si="6"/>
        <v>6.25</v>
      </c>
      <c r="AG11" s="123">
        <f t="shared" si="7"/>
        <v>500</v>
      </c>
      <c r="AH11" s="116">
        <v>1</v>
      </c>
      <c r="AI11" s="88">
        <v>500</v>
      </c>
      <c r="AJ11" s="88" t="str">
        <f>[1]Begriffe!$F$208</f>
        <v>NP</v>
      </c>
      <c r="AK11" s="116">
        <v>0.7</v>
      </c>
      <c r="AL11" s="116">
        <v>1</v>
      </c>
      <c r="AM11" s="83">
        <v>0.75</v>
      </c>
      <c r="AN11" s="117">
        <f>SUMIF(BC11:BM11,"&gt;0",BC$8:BM$8)</f>
        <v>6</v>
      </c>
      <c r="AO11" s="125">
        <f>IF(OR(A11=10.01,A11=12.11,A11=12.12),0,IF(OR(A11=1.01,A11=1.02,A11=2.01,A11=8.01),SUMIF(BC11:BP11,"&gt;0",BC$8:BP$8),SUMIF(AV11:BS11,"&gt;0",AV$8:BS$8))-AN11)</f>
        <v>0</v>
      </c>
      <c r="AP11" s="117">
        <v>29</v>
      </c>
      <c r="AQ11" s="116">
        <v>9.6666666666666661</v>
      </c>
      <c r="AR11" s="123">
        <v>1</v>
      </c>
      <c r="AS11" s="88">
        <v>2</v>
      </c>
      <c r="AT11" s="88">
        <v>0</v>
      </c>
      <c r="AU11" s="114">
        <v>0.5</v>
      </c>
      <c r="AV11" s="80"/>
      <c r="AW11" s="81"/>
      <c r="AX11" s="81"/>
      <c r="AY11" s="129"/>
      <c r="AZ11" s="81"/>
      <c r="BA11" s="130"/>
      <c r="BB11" s="81"/>
      <c r="BC11" s="81"/>
      <c r="BD11" s="81"/>
      <c r="BE11" s="129">
        <v>0.6</v>
      </c>
      <c r="BF11" s="81">
        <v>1</v>
      </c>
      <c r="BG11" s="130">
        <v>0.4</v>
      </c>
      <c r="BH11" s="81"/>
      <c r="BI11" s="81"/>
      <c r="BJ11" s="81">
        <v>0.6</v>
      </c>
      <c r="BK11" s="129">
        <v>1</v>
      </c>
      <c r="BL11" s="81">
        <v>0.4</v>
      </c>
      <c r="BM11" s="130"/>
      <c r="BN11" s="81"/>
      <c r="BO11" s="81"/>
      <c r="BP11" s="81"/>
      <c r="BQ11" s="129"/>
      <c r="BR11" s="81"/>
      <c r="BS11" s="131"/>
      <c r="BT11" s="80">
        <v>0.1</v>
      </c>
      <c r="BU11" s="81">
        <v>0.1</v>
      </c>
      <c r="BV11" s="81">
        <v>0.1</v>
      </c>
      <c r="BW11" s="129">
        <v>0.1</v>
      </c>
      <c r="BX11" s="81">
        <v>0.1</v>
      </c>
      <c r="BY11" s="130">
        <v>0.1</v>
      </c>
      <c r="BZ11" s="81">
        <v>0.1</v>
      </c>
      <c r="CA11" s="81">
        <v>0.1</v>
      </c>
      <c r="CB11" s="81">
        <v>0.1</v>
      </c>
      <c r="CC11" s="129">
        <v>0.6</v>
      </c>
      <c r="CD11" s="81">
        <v>1</v>
      </c>
      <c r="CE11" s="130">
        <v>0.4</v>
      </c>
      <c r="CF11" s="81">
        <v>0.1</v>
      </c>
      <c r="CG11" s="81">
        <v>0.1</v>
      </c>
      <c r="CH11" s="81">
        <v>0.6</v>
      </c>
      <c r="CI11" s="129">
        <v>1</v>
      </c>
      <c r="CJ11" s="81">
        <v>0.4</v>
      </c>
      <c r="CK11" s="130">
        <v>0.1</v>
      </c>
      <c r="CL11" s="81">
        <v>0.1</v>
      </c>
      <c r="CM11" s="81">
        <v>0.1</v>
      </c>
      <c r="CN11" s="81">
        <v>0.1</v>
      </c>
      <c r="CO11" s="129">
        <v>0.1</v>
      </c>
      <c r="CP11" s="81">
        <v>0.1</v>
      </c>
      <c r="CQ11" s="131">
        <v>0.1</v>
      </c>
      <c r="CR11" s="80" t="s">
        <v>26</v>
      </c>
      <c r="CS11" s="80">
        <v>0.8</v>
      </c>
      <c r="CT11" s="81">
        <v>0.8</v>
      </c>
      <c r="CU11" s="81">
        <v>0.8</v>
      </c>
      <c r="CV11" s="129">
        <v>0.8</v>
      </c>
      <c r="CW11" s="81">
        <v>0.8</v>
      </c>
      <c r="CX11" s="130">
        <v>0.8</v>
      </c>
      <c r="CY11" s="81">
        <v>0.8</v>
      </c>
      <c r="CZ11" s="81">
        <v>0.8</v>
      </c>
      <c r="DA11" s="81">
        <v>0.8</v>
      </c>
      <c r="DB11" s="129">
        <v>0.8</v>
      </c>
      <c r="DC11" s="81">
        <v>0.8</v>
      </c>
      <c r="DD11" s="131">
        <v>0.8</v>
      </c>
      <c r="DE11" s="133">
        <v>2</v>
      </c>
      <c r="DF11" s="82">
        <f t="shared" si="8"/>
        <v>261</v>
      </c>
      <c r="DG11" s="80">
        <f t="shared" si="9"/>
        <v>6</v>
      </c>
      <c r="DH11" s="81">
        <f t="shared" si="10"/>
        <v>4</v>
      </c>
      <c r="DI11" s="81">
        <f t="shared" si="11"/>
        <v>4</v>
      </c>
      <c r="DJ11" s="81">
        <f t="shared" si="12"/>
        <v>0</v>
      </c>
      <c r="DK11" s="83">
        <f t="shared" si="13"/>
        <v>0.80000000000000016</v>
      </c>
      <c r="DL11" s="84">
        <f t="shared" si="14"/>
        <v>1570</v>
      </c>
      <c r="DM11" s="84">
        <f>ROUND(DF11*(AN11+AO11),-1)</f>
        <v>1570</v>
      </c>
      <c r="DN11" s="85">
        <f t="shared" si="17"/>
        <v>840</v>
      </c>
      <c r="DO11" s="80">
        <f t="shared" si="15"/>
        <v>24</v>
      </c>
      <c r="DP11" s="81">
        <f t="shared" si="16"/>
        <v>5.799999999999998</v>
      </c>
      <c r="DQ11" s="81">
        <f>AC11%*24</f>
        <v>2.4000000000000004</v>
      </c>
      <c r="DR11" s="85">
        <f t="shared" si="18"/>
        <v>1410</v>
      </c>
    </row>
    <row r="12" spans="1:122" s="4" customFormat="1" ht="12" customHeight="1" x14ac:dyDescent="0.25">
      <c r="A12" s="132">
        <v>4.04</v>
      </c>
      <c r="B12" s="85" t="str">
        <f>[1]Begriffe!F145</f>
        <v>Hörsaal</v>
      </c>
      <c r="C12" s="118">
        <v>26</v>
      </c>
      <c r="D12" s="119">
        <v>21</v>
      </c>
      <c r="E12" s="119">
        <v>25</v>
      </c>
      <c r="F12" s="119">
        <v>22</v>
      </c>
      <c r="G12" s="120" t="s">
        <v>0</v>
      </c>
      <c r="H12" s="121" t="s">
        <v>25</v>
      </c>
      <c r="I12" s="121">
        <v>60</v>
      </c>
      <c r="J12" s="122">
        <v>30</v>
      </c>
      <c r="K12" s="123">
        <v>3</v>
      </c>
      <c r="L12" s="116">
        <v>1.2</v>
      </c>
      <c r="M12" s="116">
        <v>0.5</v>
      </c>
      <c r="N12" s="116">
        <v>1</v>
      </c>
      <c r="O12" s="117">
        <f t="shared" si="0"/>
        <v>84</v>
      </c>
      <c r="P12" s="117">
        <f t="shared" si="1"/>
        <v>94</v>
      </c>
      <c r="Q12" s="117">
        <f t="shared" si="2"/>
        <v>51</v>
      </c>
      <c r="R12" s="117">
        <f t="shared" si="3"/>
        <v>66</v>
      </c>
      <c r="S12" s="124">
        <v>0.5</v>
      </c>
      <c r="T12" s="123">
        <v>20</v>
      </c>
      <c r="U12" s="88">
        <v>10</v>
      </c>
      <c r="V12" s="88">
        <v>30</v>
      </c>
      <c r="W12" s="88"/>
      <c r="X12" s="88"/>
      <c r="Y12" s="88"/>
      <c r="Z12" s="88">
        <f t="shared" si="4"/>
        <v>20</v>
      </c>
      <c r="AA12" s="88">
        <f t="shared" si="4"/>
        <v>10</v>
      </c>
      <c r="AB12" s="88">
        <f t="shared" si="4"/>
        <v>30</v>
      </c>
      <c r="AC12" s="82">
        <v>20</v>
      </c>
      <c r="AD12" s="135">
        <f t="shared" si="5"/>
        <v>20</v>
      </c>
      <c r="AE12" s="88">
        <v>30</v>
      </c>
      <c r="AF12" s="81">
        <f t="shared" si="6"/>
        <v>1.5</v>
      </c>
      <c r="AG12" s="134">
        <f t="shared" si="7"/>
        <v>500</v>
      </c>
      <c r="AH12" s="81">
        <v>1</v>
      </c>
      <c r="AI12" s="4">
        <v>500</v>
      </c>
      <c r="AJ12" s="88" t="str">
        <f>[1]Begriffe!$F$208</f>
        <v>NP</v>
      </c>
      <c r="AK12" s="116">
        <v>0.7</v>
      </c>
      <c r="AL12" s="81">
        <v>1</v>
      </c>
      <c r="AM12" s="83">
        <v>0.75</v>
      </c>
      <c r="AN12" s="117">
        <f>SUMIF(BC12:BM12,"&gt;0",BC$8:BM$8)</f>
        <v>11</v>
      </c>
      <c r="AO12" s="125">
        <f>IF(OR(A12=10.01,A12=12.11,A12=12.12),0,IF(OR(A12=1.01,A12=1.02,A12=2.01,A12=8.01),SUMIF(BC12:BP12,"&gt;0",BC$8:BP$8),SUMIF(AV12:BS12,"&gt;0",AV$8:BS$8))-AN12)</f>
        <v>0</v>
      </c>
      <c r="AP12" s="117">
        <v>29</v>
      </c>
      <c r="AQ12" s="116">
        <v>9.6666666666666661</v>
      </c>
      <c r="AR12" s="123">
        <v>1</v>
      </c>
      <c r="AS12" s="88">
        <v>2</v>
      </c>
      <c r="AT12" s="88">
        <v>0</v>
      </c>
      <c r="AU12" s="114">
        <v>0.5</v>
      </c>
      <c r="AV12" s="80"/>
      <c r="AW12" s="81"/>
      <c r="AX12" s="81"/>
      <c r="AY12" s="129"/>
      <c r="AZ12" s="81"/>
      <c r="BA12" s="130"/>
      <c r="BB12" s="81"/>
      <c r="BC12" s="81">
        <v>0.4</v>
      </c>
      <c r="BD12" s="81">
        <v>0.6</v>
      </c>
      <c r="BE12" s="81">
        <v>1</v>
      </c>
      <c r="BF12" s="81">
        <v>1</v>
      </c>
      <c r="BG12" s="81">
        <v>0.8</v>
      </c>
      <c r="BH12" s="81">
        <v>0.2</v>
      </c>
      <c r="BI12" s="81">
        <v>0.6</v>
      </c>
      <c r="BJ12" s="81">
        <v>1</v>
      </c>
      <c r="BK12" s="81">
        <v>0.8</v>
      </c>
      <c r="BL12" s="81">
        <v>0.8</v>
      </c>
      <c r="BM12" s="130">
        <v>0.4</v>
      </c>
      <c r="BN12" s="81"/>
      <c r="BO12" s="81"/>
      <c r="BP12" s="81"/>
      <c r="BQ12" s="129"/>
      <c r="BR12" s="81"/>
      <c r="BS12" s="131"/>
      <c r="BT12" s="80">
        <v>0.2</v>
      </c>
      <c r="BU12" s="81">
        <v>0.2</v>
      </c>
      <c r="BV12" s="81">
        <v>0.2</v>
      </c>
      <c r="BW12" s="129">
        <v>0.2</v>
      </c>
      <c r="BX12" s="81">
        <v>0.2</v>
      </c>
      <c r="BY12" s="130">
        <v>0.2</v>
      </c>
      <c r="BZ12" s="81">
        <v>0.2</v>
      </c>
      <c r="CA12" s="81">
        <v>0.4</v>
      </c>
      <c r="CB12" s="81">
        <v>0.6</v>
      </c>
      <c r="CC12" s="81">
        <v>0.8</v>
      </c>
      <c r="CD12" s="81">
        <v>1</v>
      </c>
      <c r="CE12" s="81">
        <v>0.8</v>
      </c>
      <c r="CF12" s="81">
        <v>0.2</v>
      </c>
      <c r="CG12" s="81">
        <v>0.6</v>
      </c>
      <c r="CH12" s="81">
        <v>1</v>
      </c>
      <c r="CI12" s="81">
        <v>0.8</v>
      </c>
      <c r="CJ12" s="81">
        <v>0.8</v>
      </c>
      <c r="CK12" s="81">
        <v>0.4</v>
      </c>
      <c r="CL12" s="81">
        <v>0.2</v>
      </c>
      <c r="CM12" s="81">
        <v>0.2</v>
      </c>
      <c r="CN12" s="81">
        <v>0.2</v>
      </c>
      <c r="CO12" s="129">
        <v>0.2</v>
      </c>
      <c r="CP12" s="81">
        <v>0.2</v>
      </c>
      <c r="CQ12" s="131">
        <v>0.2</v>
      </c>
      <c r="CR12" s="80" t="s">
        <v>30</v>
      </c>
      <c r="CS12" s="80">
        <v>0.8</v>
      </c>
      <c r="CT12" s="81">
        <v>0.6</v>
      </c>
      <c r="CU12" s="81">
        <v>0.9</v>
      </c>
      <c r="CV12" s="129">
        <v>0.6</v>
      </c>
      <c r="CW12" s="81">
        <v>0.8</v>
      </c>
      <c r="CX12" s="130">
        <v>1</v>
      </c>
      <c r="CY12" s="81">
        <v>0</v>
      </c>
      <c r="CZ12" s="81">
        <v>0.6</v>
      </c>
      <c r="DA12" s="81">
        <v>1</v>
      </c>
      <c r="DB12" s="129">
        <v>0.6</v>
      </c>
      <c r="DC12" s="81">
        <v>0.9</v>
      </c>
      <c r="DD12" s="131">
        <v>0.6</v>
      </c>
      <c r="DE12" s="133">
        <v>2</v>
      </c>
      <c r="DF12" s="82">
        <f t="shared" si="8"/>
        <v>261</v>
      </c>
      <c r="DG12" s="80">
        <f t="shared" si="9"/>
        <v>11</v>
      </c>
      <c r="DH12" s="81">
        <f t="shared" si="10"/>
        <v>7.6</v>
      </c>
      <c r="DI12" s="81">
        <f t="shared" si="11"/>
        <v>7.6</v>
      </c>
      <c r="DJ12" s="81">
        <f t="shared" si="12"/>
        <v>0</v>
      </c>
      <c r="DK12" s="83">
        <f t="shared" si="13"/>
        <v>0.69890410958904103</v>
      </c>
      <c r="DL12" s="84">
        <f t="shared" si="14"/>
        <v>2870</v>
      </c>
      <c r="DM12" s="84">
        <f>ROUND(DF12*(AN12+AO12),-1)</f>
        <v>2870</v>
      </c>
      <c r="DN12" s="85">
        <f t="shared" si="17"/>
        <v>1390</v>
      </c>
      <c r="DO12" s="80">
        <f t="shared" si="15"/>
        <v>24</v>
      </c>
      <c r="DP12" s="81">
        <f t="shared" si="16"/>
        <v>9.9999999999999964</v>
      </c>
      <c r="DQ12" s="81">
        <f>AC12%*24</f>
        <v>4.8000000000000007</v>
      </c>
      <c r="DR12" s="85">
        <f t="shared" si="18"/>
        <v>2170</v>
      </c>
    </row>
    <row r="13" spans="1:122" s="4" customFormat="1" ht="12" customHeight="1" x14ac:dyDescent="0.25">
      <c r="A13" s="136">
        <v>6.02</v>
      </c>
      <c r="B13" s="85" t="str">
        <f>[1]Begriffe!F151</f>
        <v>Selbstbedienungsrestaurant</v>
      </c>
      <c r="C13" s="118">
        <v>26</v>
      </c>
      <c r="D13" s="119">
        <v>21</v>
      </c>
      <c r="E13" s="119">
        <v>25</v>
      </c>
      <c r="F13" s="119">
        <v>22</v>
      </c>
      <c r="G13" s="120" t="s">
        <v>0</v>
      </c>
      <c r="H13" s="121" t="s">
        <v>29</v>
      </c>
      <c r="I13" s="121">
        <v>70</v>
      </c>
      <c r="J13" s="122">
        <v>30</v>
      </c>
      <c r="K13" s="123">
        <v>2</v>
      </c>
      <c r="L13" s="116">
        <v>1.2</v>
      </c>
      <c r="M13" s="116">
        <v>0.5</v>
      </c>
      <c r="N13" s="116">
        <v>1</v>
      </c>
      <c r="O13" s="117">
        <f t="shared" si="0"/>
        <v>84</v>
      </c>
      <c r="P13" s="117">
        <f t="shared" si="1"/>
        <v>94</v>
      </c>
      <c r="Q13" s="117">
        <f t="shared" si="2"/>
        <v>51</v>
      </c>
      <c r="R13" s="117">
        <f t="shared" si="3"/>
        <v>66</v>
      </c>
      <c r="S13" s="124">
        <v>0.5</v>
      </c>
      <c r="T13" s="123">
        <v>2</v>
      </c>
      <c r="U13" s="88">
        <v>1</v>
      </c>
      <c r="V13" s="88">
        <v>3</v>
      </c>
      <c r="W13" s="88"/>
      <c r="X13" s="88"/>
      <c r="Y13" s="88"/>
      <c r="Z13" s="88">
        <f t="shared" ref="Z13:AB14" si="19">T13</f>
        <v>2</v>
      </c>
      <c r="AA13" s="88">
        <f t="shared" si="19"/>
        <v>1</v>
      </c>
      <c r="AB13" s="88">
        <f t="shared" si="19"/>
        <v>3</v>
      </c>
      <c r="AC13" s="82">
        <v>10</v>
      </c>
      <c r="AD13" s="126">
        <f t="shared" si="5"/>
        <v>2</v>
      </c>
      <c r="AE13" s="88">
        <v>30</v>
      </c>
      <c r="AF13" s="116">
        <f t="shared" si="6"/>
        <v>15</v>
      </c>
      <c r="AG13" s="123">
        <f t="shared" si="7"/>
        <v>200</v>
      </c>
      <c r="AH13" s="116">
        <v>1.5</v>
      </c>
      <c r="AI13" s="88">
        <v>300</v>
      </c>
      <c r="AJ13" s="88" t="str">
        <f>[1]Begriffe!$F$208</f>
        <v>NP</v>
      </c>
      <c r="AK13" s="116">
        <v>0.7</v>
      </c>
      <c r="AL13" s="116">
        <v>1</v>
      </c>
      <c r="AM13" s="83">
        <v>0.75</v>
      </c>
      <c r="AN13" s="117">
        <f>SUMIF(BC13:BM13,"&gt;0",BC$8:BM$8)</f>
        <v>7</v>
      </c>
      <c r="AO13" s="125">
        <f>IF(OR(A13=10.01,A13=12.11,A13=12.12),0,IF(OR(A13=1.01,A13=1.02,A13=2.01,A13=8.01),SUMIF(BC13:BP13,"&gt;0",BC$8:BP$8),SUMIF(AV13:BS13,"&gt;0",AV$8:BS$8))-AN13)</f>
        <v>0</v>
      </c>
      <c r="AP13" s="117">
        <v>29</v>
      </c>
      <c r="AQ13" s="116">
        <v>14.5</v>
      </c>
      <c r="AR13" s="123">
        <v>1</v>
      </c>
      <c r="AS13" s="88">
        <v>2</v>
      </c>
      <c r="AT13" s="88">
        <v>0</v>
      </c>
      <c r="AU13" s="114">
        <v>0.5</v>
      </c>
      <c r="AV13" s="115"/>
      <c r="AW13" s="116"/>
      <c r="AX13" s="116"/>
      <c r="AY13" s="127"/>
      <c r="AZ13" s="116"/>
      <c r="BA13" s="128"/>
      <c r="BB13" s="116"/>
      <c r="BC13" s="116"/>
      <c r="BD13" s="116">
        <v>0.4</v>
      </c>
      <c r="BE13" s="127">
        <v>0.2</v>
      </c>
      <c r="BF13" s="116">
        <v>0.4</v>
      </c>
      <c r="BG13" s="128">
        <v>1</v>
      </c>
      <c r="BH13" s="116">
        <v>0.4</v>
      </c>
      <c r="BI13" s="116">
        <v>0.2</v>
      </c>
      <c r="BJ13" s="116">
        <v>0.4</v>
      </c>
      <c r="BK13" s="127"/>
      <c r="BL13" s="116"/>
      <c r="BM13" s="128"/>
      <c r="BN13" s="116"/>
      <c r="BO13" s="116"/>
      <c r="BP13" s="116"/>
      <c r="BQ13" s="127"/>
      <c r="BR13" s="116"/>
      <c r="BS13" s="124"/>
      <c r="BT13" s="80">
        <v>0.1</v>
      </c>
      <c r="BU13" s="81">
        <v>0.1</v>
      </c>
      <c r="BV13" s="81">
        <v>0.1</v>
      </c>
      <c r="BW13" s="129">
        <v>0.1</v>
      </c>
      <c r="BX13" s="81">
        <v>0.1</v>
      </c>
      <c r="BY13" s="130">
        <v>0.1</v>
      </c>
      <c r="BZ13" s="81">
        <v>0.1</v>
      </c>
      <c r="CA13" s="116">
        <v>0.4</v>
      </c>
      <c r="CB13" s="116">
        <v>0.4</v>
      </c>
      <c r="CC13" s="127">
        <v>0.4</v>
      </c>
      <c r="CD13" s="116">
        <v>0.6</v>
      </c>
      <c r="CE13" s="128">
        <v>1</v>
      </c>
      <c r="CF13" s="116">
        <v>1</v>
      </c>
      <c r="CG13" s="116">
        <v>0.8</v>
      </c>
      <c r="CH13" s="116">
        <v>0.4</v>
      </c>
      <c r="CI13" s="127">
        <v>0.1</v>
      </c>
      <c r="CJ13" s="116">
        <v>0.1</v>
      </c>
      <c r="CK13" s="128">
        <v>0.1</v>
      </c>
      <c r="CL13" s="116">
        <v>0.1</v>
      </c>
      <c r="CM13" s="116">
        <v>0.1</v>
      </c>
      <c r="CN13" s="116">
        <v>0.1</v>
      </c>
      <c r="CO13" s="127">
        <v>0.1</v>
      </c>
      <c r="CP13" s="116">
        <v>0.1</v>
      </c>
      <c r="CQ13" s="124">
        <v>0.1</v>
      </c>
      <c r="CR13" s="80" t="s">
        <v>26</v>
      </c>
      <c r="CS13" s="80">
        <v>0.8</v>
      </c>
      <c r="CT13" s="81">
        <v>0.8</v>
      </c>
      <c r="CU13" s="81">
        <v>0.8</v>
      </c>
      <c r="CV13" s="129">
        <v>0.8</v>
      </c>
      <c r="CW13" s="81">
        <v>0.8</v>
      </c>
      <c r="CX13" s="130">
        <v>0.8</v>
      </c>
      <c r="CY13" s="81">
        <v>0.8</v>
      </c>
      <c r="CZ13" s="81">
        <v>0.8</v>
      </c>
      <c r="DA13" s="81">
        <v>0.8</v>
      </c>
      <c r="DB13" s="129">
        <v>0.8</v>
      </c>
      <c r="DC13" s="81">
        <v>0.8</v>
      </c>
      <c r="DD13" s="131">
        <v>0.8</v>
      </c>
      <c r="DE13" s="118">
        <v>1</v>
      </c>
      <c r="DF13" s="82">
        <f t="shared" si="8"/>
        <v>313</v>
      </c>
      <c r="DG13" s="80">
        <f t="shared" si="9"/>
        <v>7</v>
      </c>
      <c r="DH13" s="81">
        <f t="shared" si="10"/>
        <v>3</v>
      </c>
      <c r="DI13" s="81">
        <f t="shared" si="11"/>
        <v>3</v>
      </c>
      <c r="DJ13" s="81">
        <f t="shared" si="12"/>
        <v>0</v>
      </c>
      <c r="DK13" s="83">
        <f t="shared" si="13"/>
        <v>0.80000000000000016</v>
      </c>
      <c r="DL13" s="84">
        <f t="shared" si="14"/>
        <v>2190</v>
      </c>
      <c r="DM13" s="84">
        <f>ROUND(DF13*(AN13+AO13),-1)</f>
        <v>2190</v>
      </c>
      <c r="DN13" s="85">
        <f t="shared" si="17"/>
        <v>750</v>
      </c>
      <c r="DO13" s="80">
        <f t="shared" si="15"/>
        <v>24</v>
      </c>
      <c r="DP13" s="81">
        <f t="shared" si="16"/>
        <v>6.599999999999997</v>
      </c>
      <c r="DQ13" s="81">
        <f>AC13%*24</f>
        <v>2.4000000000000004</v>
      </c>
      <c r="DR13" s="85">
        <f t="shared" si="18"/>
        <v>1750</v>
      </c>
    </row>
    <row r="14" spans="1:122" s="4" customFormat="1" ht="12" customHeight="1" x14ac:dyDescent="0.25">
      <c r="A14" s="137">
        <v>6.04</v>
      </c>
      <c r="B14" s="113" t="str">
        <f>[1]Begriffe!F153</f>
        <v>Küche zu Selbstbedienungsrest.</v>
      </c>
      <c r="C14" s="94">
        <v>28</v>
      </c>
      <c r="D14" s="95">
        <v>20</v>
      </c>
      <c r="E14" s="95">
        <v>25</v>
      </c>
      <c r="F14" s="95">
        <v>22</v>
      </c>
      <c r="G14" s="96" t="s">
        <v>0</v>
      </c>
      <c r="H14" s="97" t="s">
        <v>29</v>
      </c>
      <c r="I14" s="97"/>
      <c r="J14" s="98"/>
      <c r="K14" s="99">
        <v>5</v>
      </c>
      <c r="L14" s="91">
        <v>2</v>
      </c>
      <c r="M14" s="91">
        <v>0.5</v>
      </c>
      <c r="N14" s="91">
        <v>1</v>
      </c>
      <c r="O14" s="92">
        <v>51</v>
      </c>
      <c r="P14" s="92">
        <v>93</v>
      </c>
      <c r="Q14" s="92">
        <v>106</v>
      </c>
      <c r="R14" s="92">
        <v>127</v>
      </c>
      <c r="S14" s="101">
        <v>10</v>
      </c>
      <c r="T14" s="99">
        <v>10</v>
      </c>
      <c r="U14" s="93">
        <v>10</v>
      </c>
      <c r="V14" s="93">
        <v>20</v>
      </c>
      <c r="W14" s="93">
        <v>190</v>
      </c>
      <c r="X14" s="93">
        <v>140</v>
      </c>
      <c r="Y14" s="93">
        <v>230</v>
      </c>
      <c r="Z14" s="93">
        <f t="shared" ref="Z14" si="20">T14</f>
        <v>10</v>
      </c>
      <c r="AA14" s="93">
        <f t="shared" si="19"/>
        <v>10</v>
      </c>
      <c r="AB14" s="93">
        <f t="shared" si="19"/>
        <v>20</v>
      </c>
      <c r="AC14" s="110">
        <v>10</v>
      </c>
      <c r="AD14" s="102">
        <f t="shared" si="5"/>
        <v>200</v>
      </c>
      <c r="AE14" s="93">
        <v>500</v>
      </c>
      <c r="AF14" s="91">
        <f t="shared" si="6"/>
        <v>2.5</v>
      </c>
      <c r="AG14" s="99">
        <f t="shared" si="7"/>
        <v>500</v>
      </c>
      <c r="AH14" s="91">
        <v>1</v>
      </c>
      <c r="AI14" s="93">
        <v>500</v>
      </c>
      <c r="AJ14" s="93" t="str">
        <f>[1]Begriffe!$F$207</f>
        <v>DP</v>
      </c>
      <c r="AK14" s="91">
        <v>1</v>
      </c>
      <c r="AL14" s="91">
        <v>1</v>
      </c>
      <c r="AM14" s="111">
        <v>0.75</v>
      </c>
      <c r="AN14" s="92">
        <f>SUMIF(BC14:BM14,"&gt;0",BC$8:BM$8)</f>
        <v>9</v>
      </c>
      <c r="AO14" s="101">
        <f>IF(OR(A14=10.01,A14=12.11,A14=12.12),0,IF(OR(A14=1.01,A14=1.02,A14=2.01,A14=8.01),SUMIF(BC14:BP14,"&gt;0",BC$8:BP$8),SUMIF(AV14:BS14,"&gt;0",AV$8:BS$8))-AN14)</f>
        <v>0</v>
      </c>
      <c r="AP14" s="92">
        <v>48.333333333333336</v>
      </c>
      <c r="AQ14" s="100">
        <v>9.6666666666666679</v>
      </c>
      <c r="AR14" s="99">
        <v>500</v>
      </c>
      <c r="AS14" s="93">
        <v>700</v>
      </c>
      <c r="AT14" s="93">
        <v>300</v>
      </c>
      <c r="AU14" s="89">
        <v>0</v>
      </c>
      <c r="AV14" s="90"/>
      <c r="AW14" s="91"/>
      <c r="AX14" s="91"/>
      <c r="AY14" s="103"/>
      <c r="AZ14" s="91"/>
      <c r="BA14" s="104"/>
      <c r="BB14" s="91"/>
      <c r="BC14" s="91">
        <v>0.4</v>
      </c>
      <c r="BD14" s="91">
        <v>0.4</v>
      </c>
      <c r="BE14" s="103">
        <v>0.8</v>
      </c>
      <c r="BF14" s="91">
        <v>1</v>
      </c>
      <c r="BG14" s="104">
        <v>1</v>
      </c>
      <c r="BH14" s="91">
        <v>0.6</v>
      </c>
      <c r="BI14" s="91">
        <v>0.4</v>
      </c>
      <c r="BJ14" s="91">
        <v>0.2</v>
      </c>
      <c r="BK14" s="103">
        <v>0.2</v>
      </c>
      <c r="BL14" s="91"/>
      <c r="BM14" s="104"/>
      <c r="BN14" s="91"/>
      <c r="BO14" s="91"/>
      <c r="BP14" s="91"/>
      <c r="BQ14" s="103"/>
      <c r="BR14" s="91"/>
      <c r="BS14" s="100"/>
      <c r="BT14" s="105">
        <v>0.1</v>
      </c>
      <c r="BU14" s="106">
        <v>0.1</v>
      </c>
      <c r="BV14" s="106">
        <v>0.1</v>
      </c>
      <c r="BW14" s="107">
        <v>0.1</v>
      </c>
      <c r="BX14" s="106">
        <v>0.1</v>
      </c>
      <c r="BY14" s="108">
        <v>0.1</v>
      </c>
      <c r="BZ14" s="106">
        <v>0.1</v>
      </c>
      <c r="CA14" s="91">
        <v>0.4</v>
      </c>
      <c r="CB14" s="91">
        <v>0.4</v>
      </c>
      <c r="CC14" s="103">
        <v>0.8</v>
      </c>
      <c r="CD14" s="91">
        <v>1</v>
      </c>
      <c r="CE14" s="104">
        <v>1</v>
      </c>
      <c r="CF14" s="91">
        <v>0.6</v>
      </c>
      <c r="CG14" s="91">
        <v>0.4</v>
      </c>
      <c r="CH14" s="91">
        <v>0.2</v>
      </c>
      <c r="CI14" s="103">
        <v>0.2</v>
      </c>
      <c r="CJ14" s="91">
        <v>0.1</v>
      </c>
      <c r="CK14" s="104">
        <v>0.1</v>
      </c>
      <c r="CL14" s="91">
        <v>0.1</v>
      </c>
      <c r="CM14" s="91">
        <v>0.1</v>
      </c>
      <c r="CN14" s="91">
        <v>0.1</v>
      </c>
      <c r="CO14" s="103">
        <v>0.1</v>
      </c>
      <c r="CP14" s="91">
        <v>0.1</v>
      </c>
      <c r="CQ14" s="100">
        <v>0.1</v>
      </c>
      <c r="CR14" s="105" t="s">
        <v>26</v>
      </c>
      <c r="CS14" s="105">
        <v>0.8</v>
      </c>
      <c r="CT14" s="106">
        <v>0.8</v>
      </c>
      <c r="CU14" s="106">
        <v>0.8</v>
      </c>
      <c r="CV14" s="107">
        <v>0.8</v>
      </c>
      <c r="CW14" s="106">
        <v>0.8</v>
      </c>
      <c r="CX14" s="108">
        <v>0.8</v>
      </c>
      <c r="CY14" s="106">
        <v>0.8</v>
      </c>
      <c r="CZ14" s="106">
        <v>0.8</v>
      </c>
      <c r="DA14" s="106">
        <v>0.8</v>
      </c>
      <c r="DB14" s="107">
        <v>0.8</v>
      </c>
      <c r="DC14" s="106">
        <v>0.8</v>
      </c>
      <c r="DD14" s="109">
        <v>0.8</v>
      </c>
      <c r="DE14" s="94">
        <v>1</v>
      </c>
      <c r="DF14" s="110">
        <f t="shared" si="8"/>
        <v>313</v>
      </c>
      <c r="DG14" s="105">
        <f t="shared" si="9"/>
        <v>9</v>
      </c>
      <c r="DH14" s="106">
        <f t="shared" si="10"/>
        <v>5.0000000000000009</v>
      </c>
      <c r="DI14" s="106">
        <f t="shared" si="11"/>
        <v>5.0000000000000009</v>
      </c>
      <c r="DJ14" s="106">
        <f t="shared" si="12"/>
        <v>0</v>
      </c>
      <c r="DK14" s="111">
        <f t="shared" si="13"/>
        <v>0.80000000000000016</v>
      </c>
      <c r="DL14" s="112">
        <f t="shared" si="14"/>
        <v>2820</v>
      </c>
      <c r="DM14" s="112">
        <f>ROUND(DF14*(AN14+AO14),-1)</f>
        <v>2820</v>
      </c>
      <c r="DN14" s="113">
        <f t="shared" si="17"/>
        <v>1250</v>
      </c>
      <c r="DO14" s="105">
        <f t="shared" si="15"/>
        <v>24</v>
      </c>
      <c r="DP14" s="106">
        <f t="shared" si="16"/>
        <v>6.4999999999999973</v>
      </c>
      <c r="DQ14" s="106">
        <f>AC14%*24</f>
        <v>2.4000000000000004</v>
      </c>
      <c r="DR14" s="113">
        <f t="shared" si="18"/>
        <v>1730</v>
      </c>
    </row>
    <row r="15" spans="1:122" x14ac:dyDescent="0.35">
      <c r="AP15" s="138"/>
      <c r="AQ15" s="139"/>
    </row>
    <row r="16" spans="1:122" x14ac:dyDescent="0.35">
      <c r="AP16" s="138"/>
      <c r="AQ16" s="139"/>
    </row>
    <row r="17" spans="42:43" x14ac:dyDescent="0.35">
      <c r="AP17" s="138"/>
      <c r="AQ17" s="139"/>
    </row>
    <row r="18" spans="42:43" x14ac:dyDescent="0.35">
      <c r="AP18" s="138"/>
      <c r="AQ18" s="139"/>
    </row>
    <row r="19" spans="42:43" x14ac:dyDescent="0.35">
      <c r="AP19" s="138"/>
      <c r="AQ19" s="139"/>
    </row>
    <row r="20" spans="42:43" x14ac:dyDescent="0.35">
      <c r="AP20" s="138"/>
      <c r="AQ20" s="139"/>
    </row>
    <row r="21" spans="42:43" x14ac:dyDescent="0.35">
      <c r="AP21" s="138"/>
      <c r="AQ21" s="139"/>
    </row>
    <row r="22" spans="42:43" x14ac:dyDescent="0.35">
      <c r="AP22" s="138"/>
      <c r="AQ22" s="139"/>
    </row>
    <row r="23" spans="42:43" x14ac:dyDescent="0.35">
      <c r="AP23" s="138"/>
      <c r="AQ23" s="139"/>
    </row>
    <row r="24" spans="42:43" x14ac:dyDescent="0.35">
      <c r="AP24" s="138"/>
      <c r="AQ24" s="139"/>
    </row>
    <row r="25" spans="42:43" x14ac:dyDescent="0.35">
      <c r="AP25" s="138"/>
      <c r="AQ25" s="139"/>
    </row>
    <row r="26" spans="42:43" x14ac:dyDescent="0.35">
      <c r="AP26" s="138"/>
      <c r="AQ26" s="139"/>
    </row>
    <row r="27" spans="42:43" x14ac:dyDescent="0.35">
      <c r="AP27" s="140"/>
      <c r="AQ27" s="141"/>
    </row>
    <row r="28" spans="42:43" x14ac:dyDescent="0.35">
      <c r="AP28" s="139"/>
      <c r="AQ28" s="139"/>
    </row>
    <row r="29" spans="42:43" x14ac:dyDescent="0.35">
      <c r="AP29" s="139"/>
      <c r="AQ29" s="139"/>
    </row>
    <row r="30" spans="42:43" x14ac:dyDescent="0.35">
      <c r="AP30" s="139"/>
      <c r="AQ30" s="139"/>
    </row>
    <row r="31" spans="42:43" x14ac:dyDescent="0.35">
      <c r="AP31" s="139"/>
      <c r="AQ31" s="139"/>
    </row>
    <row r="32" spans="42:43" x14ac:dyDescent="0.35">
      <c r="AP32" s="139"/>
      <c r="AQ32" s="141"/>
    </row>
    <row r="33" spans="42:43" x14ac:dyDescent="0.35">
      <c r="AP33" s="139"/>
      <c r="AQ33" s="139"/>
    </row>
    <row r="34" spans="42:43" x14ac:dyDescent="0.35">
      <c r="AP34" s="139"/>
      <c r="AQ34" s="139"/>
    </row>
    <row r="35" spans="42:43" x14ac:dyDescent="0.35">
      <c r="AP35" s="139"/>
      <c r="AQ35" s="139"/>
    </row>
    <row r="36" spans="42:43" x14ac:dyDescent="0.35">
      <c r="AP36" s="139"/>
      <c r="AQ36" s="139"/>
    </row>
    <row r="37" spans="42:43" x14ac:dyDescent="0.35">
      <c r="AP37" s="139"/>
      <c r="AQ37" s="139"/>
    </row>
    <row r="38" spans="42:43" x14ac:dyDescent="0.35">
      <c r="AP38" s="139"/>
      <c r="AQ38" s="142"/>
    </row>
    <row r="39" spans="42:43" x14ac:dyDescent="0.35">
      <c r="AP39" s="142"/>
      <c r="AQ39" s="13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Zweifel</dc:creator>
  <cp:lastModifiedBy>Gerhard Zweifel</cp:lastModifiedBy>
  <dcterms:created xsi:type="dcterms:W3CDTF">2026-08-17T07:42:02Z</dcterms:created>
  <dcterms:modified xsi:type="dcterms:W3CDTF">2026-08-26T15:15:21Z</dcterms:modified>
</cp:coreProperties>
</file>