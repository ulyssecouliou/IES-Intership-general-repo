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pgroup.sharepoint.com/sites/CH_P_224475_40/Freigegebene Dokumente/General/40_BEARBEITUNG/42_Bauprojekt/03_SoWä/Simulation/"/>
    </mc:Choice>
  </mc:AlternateContent>
  <xr:revisionPtr revIDLastSave="64" documentId="13_ncr:1_{1F2A4FE1-853C-45EC-B605-051A33BF9658}" xr6:coauthVersionLast="47" xr6:coauthVersionMax="47" xr10:uidLastSave="{66B859BF-9D9F-4349-AE3C-CBEFB5646466}"/>
  <bookViews>
    <workbookView xWindow="-120" yWindow="-120" windowWidth="29040" windowHeight="15720" activeTab="1" xr2:uid="{7F3E00AC-D615-4C8A-8884-D0B8E8FD35F9}"/>
  </bookViews>
  <sheets>
    <sheet name="C1" sheetId="2" r:id="rId1"/>
    <sheet name="C2 Gastro" sheetId="3" r:id="rId2"/>
    <sheet name="C2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8" i="3" l="1"/>
  <c r="Q23" i="3"/>
  <c r="Q16" i="3"/>
  <c r="Q15" i="3"/>
  <c r="Q14" i="3"/>
  <c r="P8" i="3"/>
  <c r="F5" i="2"/>
  <c r="G5" i="2" s="1"/>
  <c r="D5" i="2"/>
  <c r="E5" i="2" s="1"/>
  <c r="F4" i="2" l="1"/>
  <c r="G4" i="2" s="1"/>
  <c r="D4" i="2"/>
  <c r="E4" i="2" s="1"/>
  <c r="F3" i="2" l="1"/>
  <c r="G3" i="2" s="1"/>
  <c r="D3" i="2"/>
  <c r="E3" i="2" s="1"/>
  <c r="D7" i="1"/>
  <c r="B7" i="1"/>
  <c r="D4" i="1"/>
  <c r="B4" i="1"/>
</calcChain>
</file>

<file path=xl/sharedStrings.xml><?xml version="1.0" encoding="utf-8"?>
<sst xmlns="http://schemas.openxmlformats.org/spreadsheetml/2006/main" count="42" uniqueCount="25">
  <si>
    <t>m3/h</t>
  </si>
  <si>
    <t>l/s</t>
  </si>
  <si>
    <t>max</t>
  </si>
  <si>
    <t>min</t>
  </si>
  <si>
    <t>Zone: Klassenzimmer 3.1 Phy Fachr. 88 m2 (Orientierung S-SW)</t>
  </si>
  <si>
    <t>Zone: Klassenzimmer 3.4 Phy Werkst. 88 m2 (Orientierung S-SO)</t>
  </si>
  <si>
    <t>3 m3/hm2</t>
  </si>
  <si>
    <t>10 m3/hm2</t>
  </si>
  <si>
    <t>Space Name (Real)</t>
  </si>
  <si>
    <t>Floor Area (m²) (Real)</t>
  </si>
  <si>
    <t>Zone 1</t>
  </si>
  <si>
    <t>Zone 2</t>
  </si>
  <si>
    <t>Zone 3</t>
  </si>
  <si>
    <t>m3/m2h</t>
  </si>
  <si>
    <t>l/m2s</t>
  </si>
  <si>
    <t>Personen</t>
  </si>
  <si>
    <t>Gastro 1</t>
  </si>
  <si>
    <t>m2</t>
  </si>
  <si>
    <t>Gastro 2</t>
  </si>
  <si>
    <t>1personen</t>
  </si>
  <si>
    <t>m2/P</t>
  </si>
  <si>
    <t>Bildung</t>
  </si>
  <si>
    <t>Fläche MAB</t>
  </si>
  <si>
    <t>Lüftung Gastro</t>
  </si>
  <si>
    <t>Lüftung Bildung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</si>
</sst>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13</xdr:col>
      <xdr:colOff>210962</xdr:colOff>
      <xdr:row>26</xdr:row>
      <xdr:rowOff>134051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6654AA0-3342-CBCE-4D5A-FC446DCD8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"/>
          <a:ext cx="10116962" cy="5020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13</xdr:col>
      <xdr:colOff>144278</xdr:colOff>
      <xdr:row>62</xdr:row>
      <xdr:rowOff>172378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EF49E-CB5F-0954-3BCD-1501BD8A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34000"/>
          <a:ext cx="10050278" cy="6649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F174-F869-4E61-99ED-8BAA8D37D2FC}">
  <dimension ref="B1:G5"/>
  <sheetViews>
    <sheetView zoomScale="145" zoomScaleNormal="145" workbookViewId="0">
      <selection activeCell="B6" sqref="B6"/>
    </sheetView>
  </sheetViews>
  <sheetFormatPr baseColWidth="10" defaultRowHeight="15" x14ac:dyDescent="0.25"/>
  <cols>
    <col min="2" max="2" width="33.85546875" bestFit="1" customWidth="1"/>
    <col min="3" max="3" width="20.28515625" bestFit="1" customWidth="1"/>
    <col min="7" max="7" width="9.5703125" customWidth="1"/>
  </cols>
  <sheetData>
    <row r="1" spans="2:7" x14ac:dyDescent="0.25">
      <c r="D1" t="s">
        <v>6</v>
      </c>
      <c r="F1" t="s">
        <v>7</v>
      </c>
    </row>
    <row r="2" spans="2:7" x14ac:dyDescent="0.25">
      <c r="B2" t="s">
        <v>8</v>
      </c>
      <c r="C2" t="s">
        <v>9</v>
      </c>
      <c r="D2" t="s">
        <v>0</v>
      </c>
      <c r="E2" t="s">
        <v>1</v>
      </c>
      <c r="F2" t="s">
        <v>0</v>
      </c>
      <c r="G2" t="s">
        <v>1</v>
      </c>
    </row>
    <row r="3" spans="2:7" x14ac:dyDescent="0.25">
      <c r="B3" t="s">
        <v>10</v>
      </c>
      <c r="C3" s="1">
        <v>91</v>
      </c>
      <c r="D3" s="1">
        <f t="shared" ref="D3" si="0">3*C3</f>
        <v>273</v>
      </c>
      <c r="E3" s="2">
        <f t="shared" ref="E3:G3" si="1">D3*1000/3600</f>
        <v>75.833333333333329</v>
      </c>
      <c r="F3" s="1">
        <f t="shared" ref="F3" si="2">10*C3</f>
        <v>910</v>
      </c>
      <c r="G3" s="2">
        <f t="shared" si="1"/>
        <v>252.77777777777777</v>
      </c>
    </row>
    <row r="4" spans="2:7" x14ac:dyDescent="0.25">
      <c r="B4" t="s">
        <v>11</v>
      </c>
      <c r="C4" s="1">
        <v>147</v>
      </c>
      <c r="D4" s="1">
        <f t="shared" ref="D4" si="3">3*C4</f>
        <v>441</v>
      </c>
      <c r="E4" s="2">
        <f t="shared" ref="E4" si="4">D4*1000/3600</f>
        <v>122.5</v>
      </c>
      <c r="F4" s="1">
        <f t="shared" ref="F4" si="5">10*C4</f>
        <v>1470</v>
      </c>
      <c r="G4" s="2">
        <f t="shared" ref="G4" si="6">F4*1000/3600</f>
        <v>408.33333333333331</v>
      </c>
    </row>
    <row r="5" spans="2:7" x14ac:dyDescent="0.25">
      <c r="B5" t="s">
        <v>12</v>
      </c>
      <c r="C5" s="1">
        <v>77</v>
      </c>
      <c r="D5" s="1">
        <f t="shared" ref="D5" si="7">3*C5</f>
        <v>231</v>
      </c>
      <c r="E5" s="2">
        <f t="shared" ref="E5" si="8">D5*1000/3600</f>
        <v>64.166666666666671</v>
      </c>
      <c r="F5" s="1">
        <f t="shared" ref="F5" si="9">10*C5</f>
        <v>770</v>
      </c>
      <c r="G5" s="2">
        <f t="shared" ref="G5" si="10">F5*1000/3600</f>
        <v>213.88888888888889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CCA2-AC64-4DCC-88EA-A283BD151C5A}">
  <dimension ref="P6:T23"/>
  <sheetViews>
    <sheetView tabSelected="1" workbookViewId="0">
      <selection activeCell="S8" sqref="S8"/>
    </sheetView>
  </sheetViews>
  <sheetFormatPr baseColWidth="10" defaultRowHeight="15" x14ac:dyDescent="0.25"/>
  <sheetData>
    <row r="6" spans="16:20" x14ac:dyDescent="0.25">
      <c r="P6" t="s">
        <v>23</v>
      </c>
      <c r="S6" t="s">
        <v>24</v>
      </c>
    </row>
    <row r="7" spans="16:20" x14ac:dyDescent="0.25">
      <c r="P7">
        <v>14.5</v>
      </c>
      <c r="Q7" t="s">
        <v>13</v>
      </c>
      <c r="S7">
        <v>6.4</v>
      </c>
      <c r="T7" t="s">
        <v>13</v>
      </c>
    </row>
    <row r="8" spans="16:20" x14ac:dyDescent="0.25">
      <c r="P8">
        <f>P7*1000/3600</f>
        <v>4.0277777777777777</v>
      </c>
      <c r="Q8" t="s">
        <v>14</v>
      </c>
      <c r="S8">
        <f>S7*1000/3600</f>
        <v>1.7777777777777777</v>
      </c>
      <c r="T8" t="s">
        <v>14</v>
      </c>
    </row>
    <row r="11" spans="16:20" x14ac:dyDescent="0.25">
      <c r="P11" t="s">
        <v>15</v>
      </c>
    </row>
    <row r="12" spans="16:20" x14ac:dyDescent="0.25">
      <c r="P12" t="s">
        <v>16</v>
      </c>
      <c r="Q12">
        <v>221</v>
      </c>
      <c r="R12" t="s">
        <v>17</v>
      </c>
    </row>
    <row r="13" spans="16:20" x14ac:dyDescent="0.25">
      <c r="P13" t="s">
        <v>18</v>
      </c>
      <c r="Q13">
        <v>237</v>
      </c>
      <c r="R13" t="s">
        <v>17</v>
      </c>
    </row>
    <row r="14" spans="16:20" x14ac:dyDescent="0.25">
      <c r="Q14">
        <f>SUM(Q12:Q13)</f>
        <v>458</v>
      </c>
      <c r="R14" t="s">
        <v>17</v>
      </c>
    </row>
    <row r="15" spans="16:20" x14ac:dyDescent="0.25">
      <c r="Q15">
        <f>237+10</f>
        <v>247</v>
      </c>
      <c r="R15" t="s">
        <v>19</v>
      </c>
    </row>
    <row r="16" spans="16:20" x14ac:dyDescent="0.25">
      <c r="Q16">
        <f>Q14/Q15</f>
        <v>1.8542510121457489</v>
      </c>
      <c r="R16" t="s">
        <v>20</v>
      </c>
    </row>
    <row r="20" spans="16:18" x14ac:dyDescent="0.25">
      <c r="P20" t="s">
        <v>21</v>
      </c>
    </row>
    <row r="21" spans="16:18" x14ac:dyDescent="0.25">
      <c r="Q21">
        <v>127</v>
      </c>
      <c r="R21" t="s">
        <v>15</v>
      </c>
    </row>
    <row r="22" spans="16:18" x14ac:dyDescent="0.25">
      <c r="P22" t="s">
        <v>22</v>
      </c>
      <c r="Q22">
        <v>716</v>
      </c>
      <c r="R22" t="s">
        <v>17</v>
      </c>
    </row>
    <row r="23" spans="16:18" x14ac:dyDescent="0.25">
      <c r="Q23">
        <f>Q22/Q21</f>
        <v>5.6377952755905509</v>
      </c>
      <c r="R23" t="s">
        <v>20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F500-D262-461E-846A-13A808E447EA}">
  <dimension ref="A2:E7"/>
  <sheetViews>
    <sheetView zoomScale="145" zoomScaleNormal="145" workbookViewId="0">
      <selection activeCell="A3" sqref="A3"/>
    </sheetView>
  </sheetViews>
  <sheetFormatPr baseColWidth="10" defaultRowHeight="15" x14ac:dyDescent="0.25"/>
  <cols>
    <col min="1" max="1" width="58.42578125" bestFit="1" customWidth="1"/>
  </cols>
  <sheetData>
    <row r="2" spans="1:5" x14ac:dyDescent="0.25">
      <c r="B2" s="3" t="s">
        <v>2</v>
      </c>
      <c r="C2" s="3"/>
      <c r="D2" s="3" t="s">
        <v>3</v>
      </c>
      <c r="E2" s="3"/>
    </row>
    <row r="3" spans="1:5" x14ac:dyDescent="0.25">
      <c r="A3" t="s">
        <v>4</v>
      </c>
      <c r="B3">
        <v>800</v>
      </c>
      <c r="C3" t="s">
        <v>0</v>
      </c>
      <c r="D3">
        <v>300</v>
      </c>
      <c r="E3" t="s">
        <v>0</v>
      </c>
    </row>
    <row r="4" spans="1:5" x14ac:dyDescent="0.25">
      <c r="B4">
        <f>B3*1000/3600</f>
        <v>222.22222222222223</v>
      </c>
      <c r="C4" t="s">
        <v>1</v>
      </c>
      <c r="D4">
        <f>D3*1000/3600</f>
        <v>83.333333333333329</v>
      </c>
      <c r="E4" t="s">
        <v>1</v>
      </c>
    </row>
    <row r="6" spans="1:5" x14ac:dyDescent="0.25">
      <c r="A6" t="s">
        <v>5</v>
      </c>
      <c r="B6">
        <v>1200</v>
      </c>
      <c r="C6" t="s">
        <v>0</v>
      </c>
      <c r="D6">
        <v>400</v>
      </c>
      <c r="E6" t="s">
        <v>0</v>
      </c>
    </row>
    <row r="7" spans="1:5" x14ac:dyDescent="0.25">
      <c r="B7">
        <f>B6*1000/3600</f>
        <v>333.33333333333331</v>
      </c>
      <c r="C7" t="s">
        <v>1</v>
      </c>
      <c r="D7">
        <f>D6*1000/3600</f>
        <v>111.11111111111111</v>
      </c>
      <c r="E7" t="s">
        <v>1</v>
      </c>
    </row>
  </sheetData>
  <mergeCells count="2">
    <mergeCell ref="B2:C2"/>
    <mergeCell ref="D2:E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2cdd11-8b27-47c1-a0a4-63665e106ed0">
      <Terms xmlns="http://schemas.microsoft.com/office/infopath/2007/PartnerControls"/>
    </lcf76f155ced4ddcb4097134ff3c332f>
    <TaxCatchAll xmlns="ab67257f-e3df-4301-8138-8cefaf2580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6AD3776694C74AB358EE72739BD4A0" ma:contentTypeVersion="11" ma:contentTypeDescription="Ein neues Dokument erstellen." ma:contentTypeScope="" ma:versionID="d13ef7f855aef5c6374f5681de5631a5">
  <xsd:schema xmlns:xsd="http://www.w3.org/2001/XMLSchema" xmlns:xs="http://www.w3.org/2001/XMLSchema" xmlns:p="http://schemas.microsoft.com/office/2006/metadata/properties" xmlns:ns2="6d2cdd11-8b27-47c1-a0a4-63665e106ed0" xmlns:ns3="ab67257f-e3df-4301-8138-8cefaf258031" targetNamespace="http://schemas.microsoft.com/office/2006/metadata/properties" ma:root="true" ma:fieldsID="5563b795a07ff9d068cb9b425ae94b79" ns2:_="" ns3:_="">
    <xsd:import namespace="6d2cdd11-8b27-47c1-a0a4-63665e106ed0"/>
    <xsd:import namespace="ab67257f-e3df-4301-8138-8cefaf2580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cdd11-8b27-47c1-a0a4-63665e106e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7257f-e3df-4301-8138-8cefaf2580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b643e7-6041-4936-ace0-ce03b1fac2a4}" ma:internalName="TaxCatchAll" ma:showField="CatchAllData" ma:web="ab67257f-e3df-4301-8138-8cefaf2580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1F58DB-9920-46BD-8FA2-2071D286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806F8F-6E84-42EB-B240-0B7AB3145993}">
  <ds:schemaRefs>
    <ds:schemaRef ds:uri="http://schemas.microsoft.com/office/2006/metadata/properties"/>
    <ds:schemaRef ds:uri="http://schemas.microsoft.com/office/infopath/2007/PartnerControls"/>
    <ds:schemaRef ds:uri="6d2cdd11-8b27-47c1-a0a4-63665e106ed0"/>
    <ds:schemaRef ds:uri="ab67257f-e3df-4301-8138-8cefaf258031"/>
  </ds:schemaRefs>
</ds:datastoreItem>
</file>

<file path=customXml/itemProps3.xml><?xml version="1.0" encoding="utf-8"?>
<ds:datastoreItem xmlns:ds="http://schemas.openxmlformats.org/officeDocument/2006/customXml" ds:itemID="{0579C8F6-58E8-41C8-BAA6-FC0FA4169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cdd11-8b27-47c1-a0a4-63665e106ed0"/>
    <ds:schemaRef ds:uri="ab67257f-e3df-4301-8138-8cefaf258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C1</vt:lpstr>
      <vt:lpstr>C2 Gastro</vt:lpstr>
      <vt:lpstr>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Kyrkopoulos</dc:creator>
  <cp:lastModifiedBy>Kyrkopoulos, Alexandros</cp:lastModifiedBy>
  <dcterms:created xsi:type="dcterms:W3CDTF">2022-08-10T09:09:10Z</dcterms:created>
  <dcterms:modified xsi:type="dcterms:W3CDTF">2025-12-06T20:21:26Z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0x010100896AD3776694C74AB358EE72739BD4A0</vt:lpwstr>
  </property>
  <property fmtid="{D5CDD505-2E9C-101B-9397-08002B2CF9AE}" pid="3" name="MediaServiceImageTags">
    <vt:lpwstr/>
  </property>
</Properties>
</file>